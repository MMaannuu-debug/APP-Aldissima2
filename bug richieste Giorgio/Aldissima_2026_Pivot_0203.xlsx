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Giorgio\Documents\A\"/>
    </mc:Choice>
  </mc:AlternateContent>
  <xr:revisionPtr revIDLastSave="0" documentId="13_ncr:1_{68308CDF-D1A1-4827-8CB7-36A7A9084781}" xr6:coauthVersionLast="47" xr6:coauthVersionMax="47" xr10:uidLastSave="{00000000-0000-0000-0000-000000000000}"/>
  <bookViews>
    <workbookView xWindow="4605" yWindow="300" windowWidth="18000" windowHeight="15180" activeTab="3" xr2:uid="{00000000-000D-0000-FFFF-FFFF00000000}"/>
  </bookViews>
  <sheets>
    <sheet name="Dati" sheetId="1" r:id="rId1"/>
    <sheet name="Chmps" sheetId="19" r:id="rId2"/>
    <sheet name="Score" sheetId="20" r:id="rId3"/>
    <sheet name="Classifica" sheetId="22" r:id="rId4"/>
    <sheet name="Marcatori" sheetId="21" r:id="rId5"/>
    <sheet name="Presenze" sheetId="23" r:id="rId6"/>
  </sheets>
  <definedNames>
    <definedName name="_xlnm._FilterDatabase" localSheetId="0" hidden="1">Dati!$G$1:$H$2</definedName>
  </definedNames>
  <calcPr calcId="191028"/>
  <pivotCaches>
    <pivotCache cacheId="5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86" i="1" l="1"/>
  <c r="I87" i="1" s="1"/>
  <c r="I88" i="1" s="1"/>
  <c r="I89" i="1" s="1"/>
  <c r="I90" i="1" s="1"/>
  <c r="I91" i="1" s="1"/>
  <c r="I92" i="1" s="1"/>
  <c r="I93" i="1" s="1"/>
  <c r="I94" i="1" s="1"/>
  <c r="I95" i="1" s="1"/>
  <c r="I96" i="1" s="1"/>
  <c r="I97" i="1" s="1"/>
  <c r="I98" i="1" s="1"/>
  <c r="I99" i="1" s="1"/>
  <c r="I85" i="1"/>
  <c r="H84" i="1"/>
  <c r="B1" i="20"/>
  <c r="B1" i="19"/>
  <c r="I69" i="1"/>
  <c r="I70" i="1" s="1"/>
  <c r="I71" i="1" s="1"/>
  <c r="I72" i="1" s="1"/>
  <c r="I73" i="1" s="1"/>
  <c r="I74" i="1" s="1"/>
  <c r="I75" i="1" s="1"/>
  <c r="I76" i="1" s="1"/>
  <c r="I77" i="1" s="1"/>
  <c r="I78" i="1" s="1"/>
  <c r="I79" i="1" s="1"/>
  <c r="I80" i="1" s="1"/>
  <c r="I81" i="1" s="1"/>
  <c r="I82" i="1" s="1"/>
  <c r="I83" i="1" s="1"/>
  <c r="H68" i="1"/>
  <c r="I53" i="1"/>
  <c r="I54" i="1" s="1"/>
  <c r="I55" i="1" s="1"/>
  <c r="I56" i="1" s="1"/>
  <c r="I57" i="1" s="1"/>
  <c r="I58" i="1" s="1"/>
  <c r="I59" i="1" s="1"/>
  <c r="I60" i="1" s="1"/>
  <c r="I61" i="1" s="1"/>
  <c r="I62" i="1" s="1"/>
  <c r="I63" i="1" s="1"/>
  <c r="I64" i="1" s="1"/>
  <c r="I65" i="1" s="1"/>
  <c r="I66" i="1" s="1"/>
  <c r="I67" i="1" s="1"/>
  <c r="H52" i="1"/>
  <c r="A4" i="23" l="1"/>
  <c r="A5" i="23"/>
  <c r="A6" i="23" s="1"/>
  <c r="A7" i="23" s="1"/>
  <c r="A8" i="23" s="1"/>
  <c r="A9" i="23" s="1"/>
  <c r="A10" i="23" s="1"/>
  <c r="A11" i="23" s="1"/>
  <c r="A12" i="23" s="1"/>
  <c r="A13" i="23" s="1"/>
  <c r="A14" i="23" s="1"/>
  <c r="A15" i="23" s="1"/>
  <c r="A16" i="23" s="1"/>
  <c r="A17" i="23" s="1"/>
  <c r="A18" i="23" s="1"/>
  <c r="A19" i="23" s="1"/>
  <c r="A20" i="23" s="1"/>
  <c r="A21" i="23" s="1"/>
  <c r="A22" i="23" s="1"/>
  <c r="A23" i="23" s="1"/>
  <c r="A24" i="23" s="1"/>
  <c r="A25" i="23" s="1"/>
  <c r="A26" i="23" s="1"/>
  <c r="A27" i="23" s="1"/>
  <c r="A28" i="23" s="1"/>
  <c r="A29" i="23" s="1"/>
  <c r="A30" i="23" s="1"/>
  <c r="A31" i="23" s="1"/>
  <c r="A32" i="23" s="1"/>
  <c r="A33" i="23" s="1"/>
  <c r="A34" i="23" s="1"/>
  <c r="A35" i="23" s="1"/>
  <c r="A36" i="23" s="1"/>
  <c r="A37" i="23" s="1"/>
  <c r="A38" i="23" s="1"/>
  <c r="A39" i="23" s="1"/>
  <c r="A40" i="23" s="1"/>
  <c r="A41" i="23" s="1"/>
  <c r="A42" i="23" s="1"/>
  <c r="A43" i="23" s="1"/>
  <c r="A44" i="23" s="1"/>
  <c r="A45" i="23" s="1"/>
  <c r="A46" i="23" s="1"/>
  <c r="A47" i="23" s="1"/>
  <c r="A48" i="23" s="1"/>
  <c r="A49" i="23" s="1"/>
  <c r="A50" i="23" s="1"/>
  <c r="A51" i="23" s="1"/>
  <c r="A52" i="23" s="1"/>
  <c r="H4" i="21"/>
  <c r="H5" i="21"/>
  <c r="H6" i="21" s="1"/>
  <c r="H7" i="21" s="1"/>
  <c r="H8" i="21" s="1"/>
  <c r="H9" i="21" s="1"/>
  <c r="H10" i="21" s="1"/>
  <c r="H11" i="21" s="1"/>
  <c r="H12" i="21" s="1"/>
  <c r="H13" i="21" s="1"/>
  <c r="H14" i="21" s="1"/>
  <c r="H15" i="21" s="1"/>
  <c r="H16" i="21" s="1"/>
  <c r="H17" i="21" s="1"/>
  <c r="H18" i="21" s="1"/>
  <c r="H19" i="21" s="1"/>
  <c r="H20" i="21" s="1"/>
  <c r="H21" i="21" s="1"/>
  <c r="H22" i="21" s="1"/>
  <c r="H23" i="21" s="1"/>
  <c r="H24" i="21" s="1"/>
  <c r="H25" i="21" s="1"/>
  <c r="H26" i="21" s="1"/>
  <c r="H27" i="21" s="1"/>
  <c r="H28" i="21" s="1"/>
  <c r="H29" i="21" s="1"/>
  <c r="H30" i="21" s="1"/>
  <c r="H31" i="21" s="1"/>
  <c r="H32" i="21" s="1"/>
  <c r="H33" i="21" s="1"/>
  <c r="H34" i="21" s="1"/>
  <c r="H35" i="21" s="1"/>
  <c r="H36" i="21" s="1"/>
  <c r="H37" i="21" s="1"/>
  <c r="H38" i="21" s="1"/>
  <c r="H39" i="21" s="1"/>
  <c r="H40" i="21" s="1"/>
  <c r="H41" i="21" s="1"/>
  <c r="H42" i="21" s="1"/>
  <c r="H43" i="21" s="1"/>
  <c r="H44" i="21" s="1"/>
  <c r="H45" i="21" s="1"/>
  <c r="H46" i="21" s="1"/>
  <c r="H47" i="21" s="1"/>
  <c r="H48" i="21" s="1"/>
  <c r="H49" i="21" s="1"/>
  <c r="H50" i="21" s="1"/>
  <c r="H51" i="21" s="1"/>
  <c r="H52" i="21" s="1"/>
  <c r="A4" i="21"/>
  <c r="A5" i="21" s="1"/>
  <c r="A6" i="21" s="1"/>
  <c r="A7" i="21" s="1"/>
  <c r="A8" i="21" s="1"/>
  <c r="A9" i="21" s="1"/>
  <c r="A10" i="21" s="1"/>
  <c r="A11" i="21" s="1"/>
  <c r="A12" i="21" s="1"/>
  <c r="A13" i="21" s="1"/>
  <c r="A14" i="21" s="1"/>
  <c r="A15" i="21" s="1"/>
  <c r="A16" i="21" s="1"/>
  <c r="A17" i="21" s="1"/>
  <c r="A18" i="21" s="1"/>
  <c r="A19" i="21" s="1"/>
  <c r="A20" i="21" s="1"/>
  <c r="A21" i="21" s="1"/>
  <c r="A22" i="21" s="1"/>
  <c r="A23" i="21" s="1"/>
  <c r="A24" i="21" s="1"/>
  <c r="A25" i="21" s="1"/>
  <c r="A26" i="21" s="1"/>
  <c r="A27" i="21" s="1"/>
  <c r="A28" i="21" s="1"/>
  <c r="A29" i="21" s="1"/>
  <c r="A30" i="21" s="1"/>
  <c r="A31" i="21" s="1"/>
  <c r="A32" i="21" s="1"/>
  <c r="A33" i="21" s="1"/>
  <c r="A34" i="21" s="1"/>
  <c r="A35" i="21" s="1"/>
  <c r="A36" i="21" s="1"/>
  <c r="A37" i="21" s="1"/>
  <c r="A38" i="21" s="1"/>
  <c r="A39" i="21" s="1"/>
  <c r="A40" i="21" s="1"/>
  <c r="A41" i="21" s="1"/>
  <c r="A42" i="21" s="1"/>
  <c r="A43" i="21" s="1"/>
  <c r="A44" i="21" s="1"/>
  <c r="A45" i="21" s="1"/>
  <c r="A46" i="21" s="1"/>
  <c r="A47" i="21" s="1"/>
  <c r="A48" i="21" s="1"/>
  <c r="A49" i="21" s="1"/>
  <c r="A50" i="21" s="1"/>
  <c r="A51" i="21" s="1"/>
  <c r="A52" i="21" s="1"/>
  <c r="A43" i="22"/>
  <c r="A44" i="22"/>
  <c r="A45" i="22" s="1"/>
  <c r="A46" i="22" s="1"/>
  <c r="A47" i="22" s="1"/>
  <c r="A48" i="22" s="1"/>
  <c r="A49" i="22" s="1"/>
  <c r="A50" i="22" s="1"/>
  <c r="A51" i="22" s="1"/>
  <c r="A52" i="22" s="1"/>
  <c r="E45" i="20"/>
  <c r="E46" i="20"/>
  <c r="E47" i="20"/>
  <c r="E48" i="20"/>
  <c r="E49" i="20"/>
  <c r="E50" i="20"/>
  <c r="E51" i="20"/>
  <c r="E52" i="20"/>
  <c r="E53" i="20"/>
  <c r="E54" i="20"/>
  <c r="G45" i="19"/>
  <c r="H45" i="19"/>
  <c r="I45" i="19"/>
  <c r="J45" i="19"/>
  <c r="G46" i="19"/>
  <c r="H46" i="19"/>
  <c r="I46" i="19"/>
  <c r="J46" i="19"/>
  <c r="G47" i="19"/>
  <c r="H47" i="19"/>
  <c r="I47" i="19"/>
  <c r="J47" i="19"/>
  <c r="G48" i="19"/>
  <c r="H48" i="19"/>
  <c r="I48" i="19"/>
  <c r="J48" i="19"/>
  <c r="G49" i="19"/>
  <c r="H49" i="19"/>
  <c r="I49" i="19"/>
  <c r="J49" i="19"/>
  <c r="G50" i="19"/>
  <c r="H50" i="19"/>
  <c r="I50" i="19"/>
  <c r="J50" i="19"/>
  <c r="G51" i="19"/>
  <c r="H51" i="19"/>
  <c r="I51" i="19"/>
  <c r="J51" i="19"/>
  <c r="G52" i="19"/>
  <c r="H52" i="19"/>
  <c r="I52" i="19"/>
  <c r="J52" i="19"/>
  <c r="G53" i="19"/>
  <c r="H53" i="19"/>
  <c r="I53" i="19"/>
  <c r="J53" i="19"/>
  <c r="G54" i="19"/>
  <c r="H54" i="19"/>
  <c r="I54" i="19"/>
  <c r="J54" i="19"/>
  <c r="K46" i="19" l="1"/>
  <c r="K54" i="19"/>
  <c r="K50" i="19"/>
  <c r="K48" i="19"/>
  <c r="K52" i="19"/>
  <c r="K47" i="19"/>
  <c r="K51" i="19"/>
  <c r="K45" i="19"/>
  <c r="K49" i="19"/>
  <c r="K53" i="19"/>
  <c r="H3" i="21" l="1"/>
  <c r="A3" i="23"/>
  <c r="E44" i="20"/>
  <c r="G44" i="19"/>
  <c r="H44" i="19"/>
  <c r="I44" i="19"/>
  <c r="J44" i="19"/>
  <c r="E5" i="20"/>
  <c r="A3" i="22"/>
  <c r="A4" i="22"/>
  <c r="A5" i="22"/>
  <c r="A6" i="22"/>
  <c r="A7" i="22"/>
  <c r="A8" i="22"/>
  <c r="A9" i="22"/>
  <c r="A10" i="22"/>
  <c r="A11" i="22"/>
  <c r="A12" i="22"/>
  <c r="A13" i="22"/>
  <c r="A14" i="22"/>
  <c r="A15" i="22"/>
  <c r="A16" i="22"/>
  <c r="A17" i="22"/>
  <c r="A18" i="22"/>
  <c r="A19" i="22"/>
  <c r="A20" i="22"/>
  <c r="A21" i="22"/>
  <c r="A22" i="22"/>
  <c r="A23" i="22"/>
  <c r="A24" i="22"/>
  <c r="A25" i="22"/>
  <c r="A26" i="22"/>
  <c r="A27" i="22"/>
  <c r="A28" i="22"/>
  <c r="A29" i="22"/>
  <c r="A30" i="22"/>
  <c r="A31" i="22"/>
  <c r="A32" i="22"/>
  <c r="A33" i="22"/>
  <c r="A34" i="22"/>
  <c r="A35" i="22"/>
  <c r="A36" i="22"/>
  <c r="A37" i="22"/>
  <c r="A38" i="22"/>
  <c r="A39" i="22" s="1"/>
  <c r="A40" i="22" s="1"/>
  <c r="A41" i="22" s="1"/>
  <c r="A42" i="22" s="1"/>
  <c r="A3" i="21"/>
  <c r="H2" i="1"/>
  <c r="E6" i="20"/>
  <c r="E7" i="20"/>
  <c r="E8" i="20"/>
  <c r="E9" i="20"/>
  <c r="E10" i="20"/>
  <c r="E11" i="20"/>
  <c r="E12" i="20"/>
  <c r="E13" i="20"/>
  <c r="E14" i="20"/>
  <c r="E15" i="20"/>
  <c r="E16" i="20"/>
  <c r="E17" i="20"/>
  <c r="E18" i="20"/>
  <c r="E19" i="20"/>
  <c r="E20" i="20"/>
  <c r="E21" i="20"/>
  <c r="E22" i="20"/>
  <c r="E23" i="20"/>
  <c r="E24" i="20"/>
  <c r="E25" i="20"/>
  <c r="E26" i="20"/>
  <c r="E27" i="20"/>
  <c r="E28" i="20"/>
  <c r="E29" i="20"/>
  <c r="E30" i="20"/>
  <c r="E31" i="20"/>
  <c r="E32" i="20"/>
  <c r="E33" i="20"/>
  <c r="E34" i="20"/>
  <c r="E35" i="20"/>
  <c r="E36" i="20"/>
  <c r="E37" i="20"/>
  <c r="E38" i="20"/>
  <c r="E39" i="20"/>
  <c r="E40" i="20"/>
  <c r="E41" i="20"/>
  <c r="E42" i="20"/>
  <c r="E43" i="20"/>
  <c r="E4" i="20"/>
  <c r="G5" i="19"/>
  <c r="H5" i="19"/>
  <c r="I5" i="19"/>
  <c r="J5" i="19"/>
  <c r="G6" i="19"/>
  <c r="H6" i="19"/>
  <c r="I6" i="19"/>
  <c r="J6" i="19"/>
  <c r="G7" i="19"/>
  <c r="H7" i="19"/>
  <c r="I7" i="19"/>
  <c r="J7" i="19"/>
  <c r="G8" i="19"/>
  <c r="H8" i="19"/>
  <c r="I8" i="19"/>
  <c r="J8" i="19"/>
  <c r="G9" i="19"/>
  <c r="H9" i="19"/>
  <c r="I9" i="19"/>
  <c r="J9" i="19"/>
  <c r="G10" i="19"/>
  <c r="H10" i="19"/>
  <c r="I10" i="19"/>
  <c r="J10" i="19"/>
  <c r="G11" i="19"/>
  <c r="H11" i="19"/>
  <c r="I11" i="19"/>
  <c r="J11" i="19"/>
  <c r="G12" i="19"/>
  <c r="H12" i="19"/>
  <c r="I12" i="19"/>
  <c r="J12" i="19"/>
  <c r="G13" i="19"/>
  <c r="H13" i="19"/>
  <c r="I13" i="19"/>
  <c r="J13" i="19"/>
  <c r="G14" i="19"/>
  <c r="H14" i="19"/>
  <c r="I14" i="19"/>
  <c r="J14" i="19"/>
  <c r="G15" i="19"/>
  <c r="H15" i="19"/>
  <c r="I15" i="19"/>
  <c r="J15" i="19"/>
  <c r="G16" i="19"/>
  <c r="H16" i="19"/>
  <c r="I16" i="19"/>
  <c r="J16" i="19"/>
  <c r="G17" i="19"/>
  <c r="H17" i="19"/>
  <c r="I17" i="19"/>
  <c r="J17" i="19"/>
  <c r="G18" i="19"/>
  <c r="H18" i="19"/>
  <c r="I18" i="19"/>
  <c r="J18" i="19"/>
  <c r="G19" i="19"/>
  <c r="H19" i="19"/>
  <c r="I19" i="19"/>
  <c r="J19" i="19"/>
  <c r="G20" i="19"/>
  <c r="H20" i="19"/>
  <c r="I20" i="19"/>
  <c r="J20" i="19"/>
  <c r="G21" i="19"/>
  <c r="H21" i="19"/>
  <c r="I21" i="19"/>
  <c r="J21" i="19"/>
  <c r="G22" i="19"/>
  <c r="H22" i="19"/>
  <c r="I22" i="19"/>
  <c r="J22" i="19"/>
  <c r="G23" i="19"/>
  <c r="H23" i="19"/>
  <c r="I23" i="19"/>
  <c r="J23" i="19"/>
  <c r="G24" i="19"/>
  <c r="H24" i="19"/>
  <c r="I24" i="19"/>
  <c r="J24" i="19"/>
  <c r="G25" i="19"/>
  <c r="H25" i="19"/>
  <c r="I25" i="19"/>
  <c r="J25" i="19"/>
  <c r="G26" i="19"/>
  <c r="H26" i="19"/>
  <c r="I26" i="19"/>
  <c r="J26" i="19"/>
  <c r="G27" i="19"/>
  <c r="H27" i="19"/>
  <c r="I27" i="19"/>
  <c r="J27" i="19"/>
  <c r="G28" i="19"/>
  <c r="H28" i="19"/>
  <c r="I28" i="19"/>
  <c r="J28" i="19"/>
  <c r="G29" i="19"/>
  <c r="H29" i="19"/>
  <c r="I29" i="19"/>
  <c r="J29" i="19"/>
  <c r="G30" i="19"/>
  <c r="H30" i="19"/>
  <c r="I30" i="19"/>
  <c r="J30" i="19"/>
  <c r="G31" i="19"/>
  <c r="H31" i="19"/>
  <c r="I31" i="19"/>
  <c r="J31" i="19"/>
  <c r="G32" i="19"/>
  <c r="H32" i="19"/>
  <c r="I32" i="19"/>
  <c r="J32" i="19"/>
  <c r="G33" i="19"/>
  <c r="H33" i="19"/>
  <c r="I33" i="19"/>
  <c r="J33" i="19"/>
  <c r="G34" i="19"/>
  <c r="H34" i="19"/>
  <c r="I34" i="19"/>
  <c r="J34" i="19"/>
  <c r="G35" i="19"/>
  <c r="H35" i="19"/>
  <c r="I35" i="19"/>
  <c r="J35" i="19"/>
  <c r="G36" i="19"/>
  <c r="H36" i="19"/>
  <c r="I36" i="19"/>
  <c r="J36" i="19"/>
  <c r="G37" i="19"/>
  <c r="H37" i="19"/>
  <c r="I37" i="19"/>
  <c r="J37" i="19"/>
  <c r="G38" i="19"/>
  <c r="H38" i="19"/>
  <c r="I38" i="19"/>
  <c r="J38" i="19"/>
  <c r="G39" i="19"/>
  <c r="H39" i="19"/>
  <c r="I39" i="19"/>
  <c r="J39" i="19"/>
  <c r="G40" i="19"/>
  <c r="H40" i="19"/>
  <c r="I40" i="19"/>
  <c r="J40" i="19"/>
  <c r="G41" i="19"/>
  <c r="H41" i="19"/>
  <c r="I41" i="19"/>
  <c r="J41" i="19"/>
  <c r="G42" i="19"/>
  <c r="H42" i="19"/>
  <c r="I42" i="19"/>
  <c r="J42" i="19"/>
  <c r="G43" i="19"/>
  <c r="H43" i="19"/>
  <c r="I43" i="19"/>
  <c r="J43" i="19"/>
  <c r="J4" i="19"/>
  <c r="I4" i="19"/>
  <c r="G4" i="19"/>
  <c r="H4" i="19"/>
  <c r="C1" i="20"/>
  <c r="E1" i="19"/>
  <c r="B2" i="21" l="1" a="1"/>
  <c r="B2" i="21" s="1"/>
  <c r="J2" i="21" a="1"/>
  <c r="O19" i="21" s="1"/>
  <c r="H55" i="19"/>
  <c r="J55" i="19"/>
  <c r="I55" i="19"/>
  <c r="G55" i="19"/>
  <c r="K36" i="19"/>
  <c r="K20" i="19"/>
  <c r="K40" i="19"/>
  <c r="K35" i="19"/>
  <c r="K24" i="19"/>
  <c r="K30" i="19"/>
  <c r="K28" i="19"/>
  <c r="K9" i="19"/>
  <c r="K34" i="19"/>
  <c r="K41" i="19"/>
  <c r="K31" i="19"/>
  <c r="K21" i="19"/>
  <c r="K14" i="19"/>
  <c r="K19" i="19"/>
  <c r="K6" i="19"/>
  <c r="K25" i="19"/>
  <c r="K39" i="19"/>
  <c r="K29" i="19"/>
  <c r="K44" i="19"/>
  <c r="K42" i="19"/>
  <c r="K32" i="19"/>
  <c r="K27" i="19"/>
  <c r="K17" i="19"/>
  <c r="K12" i="19"/>
  <c r="K38" i="19"/>
  <c r="K33" i="19"/>
  <c r="K23" i="19"/>
  <c r="K13" i="19"/>
  <c r="K8" i="19"/>
  <c r="K37" i="19"/>
  <c r="K22" i="19"/>
  <c r="K7" i="19"/>
  <c r="K26" i="19"/>
  <c r="K16" i="19"/>
  <c r="K11" i="19"/>
  <c r="K43" i="19"/>
  <c r="K18" i="19"/>
  <c r="K4" i="19"/>
  <c r="K15" i="19"/>
  <c r="K10" i="19"/>
  <c r="K5" i="19"/>
  <c r="B2" i="22" l="1" a="1"/>
  <c r="B2" i="22" s="1"/>
  <c r="B2" i="23" a="1"/>
  <c r="B2" i="23" s="1"/>
  <c r="J2" i="21"/>
  <c r="O46" i="21"/>
  <c r="O47" i="21"/>
  <c r="O44" i="21"/>
  <c r="O48" i="21"/>
  <c r="O49" i="21"/>
  <c r="O50" i="21"/>
  <c r="O51" i="21"/>
  <c r="O52" i="21"/>
  <c r="O43" i="21"/>
  <c r="O45" i="21"/>
  <c r="K55" i="19"/>
  <c r="K1" i="19" s="1"/>
  <c r="O29" i="21"/>
  <c r="O2" i="21"/>
  <c r="O40" i="21"/>
  <c r="O28" i="21"/>
  <c r="O3" i="21"/>
  <c r="O10" i="21"/>
  <c r="O32" i="21"/>
  <c r="O24" i="21"/>
  <c r="O14" i="21"/>
  <c r="O27" i="21"/>
  <c r="O13" i="21"/>
  <c r="O20" i="21"/>
  <c r="O25" i="21"/>
  <c r="O16" i="21"/>
  <c r="O21" i="21"/>
  <c r="O41" i="21"/>
  <c r="O9" i="21"/>
  <c r="O22" i="21"/>
  <c r="O38" i="21"/>
  <c r="O39" i="21"/>
  <c r="O23" i="21"/>
  <c r="O34" i="21"/>
  <c r="O15" i="21"/>
  <c r="O42" i="21"/>
  <c r="O37" i="21"/>
  <c r="O8" i="21"/>
  <c r="O26" i="21"/>
  <c r="O7" i="21"/>
  <c r="O35" i="21"/>
  <c r="O18" i="21"/>
  <c r="O36" i="21"/>
  <c r="O17" i="21"/>
  <c r="O11" i="21"/>
  <c r="O5" i="21"/>
  <c r="O33" i="21"/>
  <c r="O30" i="21"/>
  <c r="O12" i="21"/>
  <c r="O4" i="21"/>
  <c r="O31" i="21"/>
  <c r="O6" i="2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<sst xmlns="http://schemas.openxmlformats.org/spreadsheetml/2006/main" count="256" uniqueCount="82">
  <si>
    <t>Totale complessivo</t>
  </si>
  <si>
    <t>V</t>
  </si>
  <si>
    <t>N</t>
  </si>
  <si>
    <t>S</t>
  </si>
  <si>
    <t>Etichette di riga</t>
  </si>
  <si>
    <t>(vuoto)</t>
  </si>
  <si>
    <t>Somma di V</t>
  </si>
  <si>
    <t>G</t>
  </si>
  <si>
    <t>Somma di G</t>
  </si>
  <si>
    <t>Somma di S</t>
  </si>
  <si>
    <t>Quadratura</t>
  </si>
  <si>
    <t>P</t>
  </si>
  <si>
    <t>CLASSIFICA</t>
  </si>
  <si>
    <t xml:space="preserve"> G</t>
  </si>
  <si>
    <t>MEDIA</t>
  </si>
  <si>
    <t>#</t>
  </si>
  <si>
    <t>NOME</t>
  </si>
  <si>
    <t>GIOCATE</t>
  </si>
  <si>
    <t>GOALS</t>
  </si>
  <si>
    <t>PUNTI</t>
  </si>
  <si>
    <t>GF</t>
  </si>
  <si>
    <t>Gpt</t>
  </si>
  <si>
    <t>Vpt</t>
  </si>
  <si>
    <t>Ppt</t>
  </si>
  <si>
    <t>Spt</t>
  </si>
  <si>
    <t>Giocatore</t>
  </si>
  <si>
    <t>Partira</t>
  </si>
  <si>
    <t>GFxP</t>
  </si>
  <si>
    <t>Somma di P</t>
  </si>
  <si>
    <t>Somma di GF</t>
  </si>
  <si>
    <t>Somma di GFxP</t>
  </si>
  <si>
    <t>PG</t>
  </si>
  <si>
    <t>AleVolpe</t>
  </si>
  <si>
    <t>Blenti</t>
  </si>
  <si>
    <t>BordoniA.</t>
  </si>
  <si>
    <t>BordoniM.</t>
  </si>
  <si>
    <t>Bossi</t>
  </si>
  <si>
    <t>Danilo</t>
  </si>
  <si>
    <t>Ernesto</t>
  </si>
  <si>
    <t>Francesco</t>
  </si>
  <si>
    <t>Franco</t>
  </si>
  <si>
    <t>Gabriele</t>
  </si>
  <si>
    <t>Gerti</t>
  </si>
  <si>
    <t>Giorgio</t>
  </si>
  <si>
    <t>Manuel</t>
  </si>
  <si>
    <t>MatteoM</t>
  </si>
  <si>
    <t>Max (P)</t>
  </si>
  <si>
    <t>Max11</t>
  </si>
  <si>
    <t>Michele</t>
  </si>
  <si>
    <t>Niko</t>
  </si>
  <si>
    <t>Pasta</t>
  </si>
  <si>
    <t>Piccolo</t>
  </si>
  <si>
    <t>Pier</t>
  </si>
  <si>
    <t>Pizzato</t>
  </si>
  <si>
    <t>Sassi</t>
  </si>
  <si>
    <t>Scardino</t>
  </si>
  <si>
    <t>Simone</t>
  </si>
  <si>
    <t>Tino</t>
  </si>
  <si>
    <t>Vietina</t>
  </si>
  <si>
    <t>Zef</t>
  </si>
  <si>
    <t>Michele (P)</t>
  </si>
  <si>
    <t>Rossi</t>
  </si>
  <si>
    <t>DarioFelo</t>
  </si>
  <si>
    <t>Alex</t>
  </si>
  <si>
    <t>Metin</t>
  </si>
  <si>
    <t>Andrei</t>
  </si>
  <si>
    <t>Extracom1</t>
  </si>
  <si>
    <t>Extracom2</t>
  </si>
  <si>
    <t>ZZ40</t>
  </si>
  <si>
    <t>ZZ41</t>
  </si>
  <si>
    <t>ZZ42</t>
  </si>
  <si>
    <t>ZZ43</t>
  </si>
  <si>
    <t>ZZ44</t>
  </si>
  <si>
    <t>ZZ45</t>
  </si>
  <si>
    <t>ZZ46</t>
  </si>
  <si>
    <t>ZZ47</t>
  </si>
  <si>
    <t>ZZ48</t>
  </si>
  <si>
    <t>ZZ49</t>
  </si>
  <si>
    <t>ZZ50</t>
  </si>
  <si>
    <t>Andrea</t>
  </si>
  <si>
    <t>Yannik</t>
  </si>
  <si>
    <t>Extracom3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</si>
</sst>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4" tint="0.79998168889431442"/>
      <name val="Calibri"/>
      <family val="2"/>
      <scheme val="minor"/>
    </font>
    <font>
      <sz val="12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3" tint="0.59999389629810485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9" tint="0.39994506668294322"/>
      </left>
      <right style="thin">
        <color theme="9" tint="0.39994506668294322"/>
      </right>
      <top style="thin">
        <color theme="9" tint="0.39994506668294322"/>
      </top>
      <bottom style="thin">
        <color theme="9" tint="0.39994506668294322"/>
      </bottom>
      <diagonal/>
    </border>
    <border>
      <left style="thin">
        <color theme="4" tint="0.59996337778862885"/>
      </left>
      <right style="thin">
        <color theme="4" tint="0.59996337778862885"/>
      </right>
      <top style="thin">
        <color theme="4" tint="0.59996337778862885"/>
      </top>
      <bottom style="thin">
        <color theme="4" tint="0.59996337778862885"/>
      </bottom>
      <diagonal/>
    </border>
    <border>
      <left style="thin">
        <color theme="9" tint="0.59996337778862885"/>
      </left>
      <right style="thin">
        <color theme="9" tint="0.59996337778862885"/>
      </right>
      <top style="thin">
        <color theme="9" tint="0.59996337778862885"/>
      </top>
      <bottom style="thin">
        <color theme="9" tint="0.59996337778862885"/>
      </bottom>
      <diagonal/>
    </border>
    <border>
      <left/>
      <right style="thin">
        <color theme="9" tint="0.39994506668294322"/>
      </right>
      <top style="thin">
        <color theme="9" tint="0.39994506668294322"/>
      </top>
      <bottom style="thin">
        <color theme="9" tint="0.39994506668294322"/>
      </bottom>
      <diagonal/>
    </border>
    <border>
      <left style="thin">
        <color theme="9" tint="0.39994506668294322"/>
      </left>
      <right style="thin">
        <color theme="9" tint="0.39994506668294322"/>
      </right>
      <top/>
      <bottom style="thin">
        <color theme="9" tint="0.39994506668294322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 style="thin">
        <color theme="9" tint="0.59996337778862885"/>
      </left>
      <right style="thin">
        <color theme="9" tint="0.59996337778862885"/>
      </right>
      <top style="thin">
        <color theme="9" tint="0.59996337778862885"/>
      </top>
      <bottom/>
      <diagonal/>
    </border>
    <border>
      <left style="thin">
        <color theme="9" tint="0.39994506668294322"/>
      </left>
      <right style="thin">
        <color theme="9" tint="0.39994506668294322"/>
      </right>
      <top style="thin">
        <color theme="9" tint="0.39994506668294322"/>
      </top>
      <bottom/>
      <diagonal/>
    </border>
  </borders>
  <cellStyleXfs count="1">
    <xf numFmtId="0" fontId="0" fillId="0" borderId="0"/>
  </cellStyleXfs>
  <cellXfs count="6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0" fillId="0" borderId="0" xfId="0" pivotButton="1"/>
    <xf numFmtId="0" fontId="0" fillId="0" borderId="0" xfId="0" applyAlignment="1">
      <alignment horizontal="left"/>
    </xf>
    <xf numFmtId="0" fontId="0" fillId="4" borderId="0" xfId="0" applyFill="1"/>
    <xf numFmtId="14" fontId="0" fillId="4" borderId="0" xfId="0" applyNumberFormat="1" applyFill="1" applyAlignment="1">
      <alignment horizontal="center"/>
    </xf>
    <xf numFmtId="0" fontId="0" fillId="4" borderId="0" xfId="0" applyFill="1" applyAlignment="1">
      <alignment horizontal="right"/>
    </xf>
    <xf numFmtId="0" fontId="2" fillId="3" borderId="2" xfId="0" applyFont="1" applyFill="1" applyBorder="1" applyAlignment="1">
      <alignment horizontal="left"/>
    </xf>
    <xf numFmtId="0" fontId="2" fillId="3" borderId="2" xfId="0" applyFont="1" applyFill="1" applyBorder="1"/>
    <xf numFmtId="0" fontId="3" fillId="3" borderId="2" xfId="0" applyFont="1" applyFill="1" applyBorder="1"/>
    <xf numFmtId="0" fontId="0" fillId="0" borderId="5" xfId="0" applyBorder="1"/>
    <xf numFmtId="1" fontId="0" fillId="0" borderId="5" xfId="0" applyNumberFormat="1" applyBorder="1" applyAlignment="1">
      <alignment horizontal="right"/>
    </xf>
    <xf numFmtId="0" fontId="2" fillId="3" borderId="5" xfId="0" applyFont="1" applyFill="1" applyBorder="1" applyAlignment="1">
      <alignment horizontal="right"/>
    </xf>
    <xf numFmtId="1" fontId="2" fillId="3" borderId="2" xfId="0" applyNumberFormat="1" applyFont="1" applyFill="1" applyBorder="1"/>
    <xf numFmtId="1" fontId="2" fillId="3" borderId="5" xfId="0" applyNumberFormat="1" applyFont="1" applyFill="1" applyBorder="1" applyAlignment="1">
      <alignment horizontal="right"/>
    </xf>
    <xf numFmtId="2" fontId="0" fillId="0" borderId="0" xfId="0" applyNumberFormat="1"/>
    <xf numFmtId="0" fontId="2" fillId="3" borderId="4" xfId="0" applyFont="1" applyFill="1" applyBorder="1" applyAlignment="1">
      <alignment horizontal="right"/>
    </xf>
    <xf numFmtId="0" fontId="0" fillId="0" borderId="6" xfId="0" applyBorder="1" applyAlignment="1">
      <alignment horizontal="center"/>
    </xf>
    <xf numFmtId="0" fontId="0" fillId="0" borderId="6" xfId="0" applyBorder="1"/>
    <xf numFmtId="2" fontId="0" fillId="0" borderId="6" xfId="0" applyNumberFormat="1" applyBorder="1"/>
    <xf numFmtId="0" fontId="0" fillId="0" borderId="6" xfId="0" applyBorder="1" applyAlignment="1">
      <alignment horizontal="left"/>
    </xf>
    <xf numFmtId="0" fontId="4" fillId="0" borderId="0" xfId="0" applyFont="1"/>
    <xf numFmtId="0" fontId="0" fillId="0" borderId="7" xfId="0" applyBorder="1" applyAlignment="1">
      <alignment horizontal="center"/>
    </xf>
    <xf numFmtId="0" fontId="0" fillId="0" borderId="7" xfId="0" applyBorder="1"/>
    <xf numFmtId="0" fontId="0" fillId="0" borderId="9" xfId="0" applyBorder="1"/>
    <xf numFmtId="0" fontId="0" fillId="0" borderId="10" xfId="0" applyBorder="1" applyAlignment="1">
      <alignment horizontal="center"/>
    </xf>
    <xf numFmtId="0" fontId="0" fillId="0" borderId="10" xfId="0" applyBorder="1"/>
    <xf numFmtId="0" fontId="0" fillId="0" borderId="8" xfId="0" applyBorder="1" applyAlignment="1">
      <alignment horizontal="center"/>
    </xf>
    <xf numFmtId="0" fontId="0" fillId="0" borderId="8" xfId="0" applyBorder="1"/>
    <xf numFmtId="0" fontId="0" fillId="0" borderId="10" xfId="0" applyBorder="1" applyAlignment="1">
      <alignment horizontal="left"/>
    </xf>
    <xf numFmtId="2" fontId="0" fillId="0" borderId="10" xfId="0" applyNumberFormat="1" applyBorder="1"/>
    <xf numFmtId="0" fontId="0" fillId="0" borderId="8" xfId="0" applyBorder="1" applyAlignment="1">
      <alignment horizontal="left"/>
    </xf>
    <xf numFmtId="2" fontId="0" fillId="0" borderId="8" xfId="0" applyNumberFormat="1" applyBorder="1"/>
    <xf numFmtId="0" fontId="2" fillId="0" borderId="7" xfId="0" applyFont="1" applyBorder="1"/>
    <xf numFmtId="0" fontId="2" fillId="0" borderId="0" xfId="0" applyFont="1"/>
    <xf numFmtId="0" fontId="5" fillId="6" borderId="7" xfId="0" applyFont="1" applyFill="1" applyBorder="1" applyAlignment="1">
      <alignment horizontal="center"/>
    </xf>
    <xf numFmtId="0" fontId="5" fillId="6" borderId="7" xfId="0" applyFont="1" applyFill="1" applyBorder="1" applyAlignment="1">
      <alignment horizontal="right"/>
    </xf>
    <xf numFmtId="0" fontId="5" fillId="5" borderId="8" xfId="0" applyFont="1" applyFill="1" applyBorder="1" applyAlignment="1">
      <alignment horizontal="center"/>
    </xf>
    <xf numFmtId="0" fontId="5" fillId="5" borderId="8" xfId="0" applyFont="1" applyFill="1" applyBorder="1" applyAlignment="1">
      <alignment horizontal="left"/>
    </xf>
    <xf numFmtId="0" fontId="5" fillId="5" borderId="8" xfId="0" applyFont="1" applyFill="1" applyBorder="1" applyAlignment="1">
      <alignment horizontal="right"/>
    </xf>
    <xf numFmtId="0" fontId="6" fillId="0" borderId="0" xfId="0" applyFont="1"/>
    <xf numFmtId="2" fontId="5" fillId="5" borderId="8" xfId="0" applyNumberFormat="1" applyFont="1" applyFill="1" applyBorder="1" applyAlignment="1">
      <alignment horizontal="right"/>
    </xf>
    <xf numFmtId="14" fontId="5" fillId="6" borderId="7" xfId="0" applyNumberFormat="1" applyFont="1" applyFill="1" applyBorder="1"/>
    <xf numFmtId="14" fontId="5" fillId="5" borderId="8" xfId="0" applyNumberFormat="1" applyFont="1" applyFill="1" applyBorder="1" applyAlignment="1">
      <alignment horizontal="left"/>
    </xf>
    <xf numFmtId="0" fontId="0" fillId="4" borderId="11" xfId="0" applyFill="1" applyBorder="1"/>
    <xf numFmtId="0" fontId="2" fillId="4" borderId="3" xfId="0" applyFont="1" applyFill="1" applyBorder="1"/>
    <xf numFmtId="14" fontId="5" fillId="5" borderId="8" xfId="0" applyNumberFormat="1" applyFont="1" applyFill="1" applyBorder="1"/>
    <xf numFmtId="0" fontId="0" fillId="0" borderId="12" xfId="0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0" borderId="13" xfId="0" applyBorder="1"/>
    <xf numFmtId="0" fontId="0" fillId="0" borderId="13" xfId="0" applyBorder="1" applyAlignment="1">
      <alignment horizontal="left"/>
    </xf>
    <xf numFmtId="0" fontId="0" fillId="0" borderId="13" xfId="0" applyBorder="1" applyAlignment="1">
      <alignment horizontal="center"/>
    </xf>
    <xf numFmtId="2" fontId="0" fillId="0" borderId="13" xfId="0" applyNumberFormat="1" applyBorder="1"/>
    <xf numFmtId="0" fontId="0" fillId="7" borderId="11" xfId="0" applyFill="1" applyBorder="1"/>
    <xf numFmtId="14" fontId="0" fillId="7" borderId="11" xfId="0" applyNumberFormat="1" applyFill="1" applyBorder="1" applyAlignment="1">
      <alignment horizontal="center"/>
    </xf>
    <xf numFmtId="0" fontId="0" fillId="7" borderId="11" xfId="0" applyFill="1" applyBorder="1" applyAlignment="1">
      <alignment horizontal="right"/>
    </xf>
    <xf numFmtId="0" fontId="2" fillId="7" borderId="11" xfId="0" applyFont="1" applyFill="1" applyBorder="1"/>
    <xf numFmtId="0" fontId="7" fillId="0" borderId="7" xfId="0" applyFont="1" applyBorder="1"/>
    <xf numFmtId="14" fontId="0" fillId="4" borderId="11" xfId="0" applyNumberFormat="1" applyFill="1" applyBorder="1" applyAlignment="1">
      <alignment horizontal="center"/>
    </xf>
    <xf numFmtId="0" fontId="0" fillId="4" borderId="11" xfId="0" applyFill="1" applyBorder="1" applyAlignment="1">
      <alignment horizontal="right"/>
    </xf>
    <xf numFmtId="0" fontId="2" fillId="4" borderId="11" xfId="0" applyFont="1" applyFill="1" applyBorder="1"/>
    <xf numFmtId="0" fontId="7" fillId="4" borderId="7" xfId="0" applyFont="1" applyFill="1" applyBorder="1"/>
    <xf numFmtId="0" fontId="0" fillId="0" borderId="0" xfId="0" applyNumberFormat="1"/>
    <xf numFmtId="2" fontId="5" fillId="5" borderId="9" xfId="0" applyNumberFormat="1" applyFont="1" applyFill="1" applyBorder="1" applyAlignment="1">
      <alignment horizontal="right"/>
    </xf>
    <xf numFmtId="2" fontId="0" fillId="0" borderId="9" xfId="0" applyNumberFormat="1" applyBorder="1"/>
  </cellXfs>
  <cellStyles count="1">
    <cellStyle name="Normale" xfId="0" builtinId="0"/>
  </cellStyles>
  <dxfs count="10">
    <dxf>
      <fill>
        <patternFill>
          <bgColor theme="7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  <alignment horizontal="right" vertical="bottom" textRotation="0" wrapText="0" indent="0" justifyLastLine="0" shrinkToFit="0" readingOrder="0"/>
    </dxf>
    <dxf>
      <fill>
        <patternFill>
          <bgColor theme="4" tint="0.79998168889431442"/>
        </patternFill>
      </fill>
    </dxf>
    <dxf>
      <numFmt numFmtId="19" formatCode="dd/mm/yyyy"/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iorgio" refreshedDate="46057.494499189816" missingItemsLimit="0" createdVersion="8" refreshedVersion="8" minRefreshableVersion="3" recordCount="99" xr:uid="{D1C1F87A-ECFE-45F6-B42D-49903A90E0AB}">
  <cacheSource type="worksheet">
    <worksheetSource ref="A1:H1048576" sheet="Dati"/>
  </cacheSource>
  <cacheFields count="10">
    <cacheField name="Giocatore" numFmtId="0">
      <sharedItems containsBlank="1" count="51">
        <s v="AleVolpe"/>
        <s v="Alex"/>
        <s v="Andrei"/>
        <s v="Blenti"/>
        <s v="BordoniA."/>
        <s v="BordoniM."/>
        <s v="Bossi"/>
        <s v="Danilo"/>
        <s v="DarioFelo"/>
        <s v="Ernesto"/>
        <s v="Francesco"/>
        <s v="Franco"/>
        <s v="Gabriele"/>
        <s v="Gerti"/>
        <s v="Giorgio"/>
        <s v="Manuel"/>
        <s v="MatteoM"/>
        <s v="Max (P)"/>
        <s v="Max11"/>
        <s v="Metin"/>
        <s v="Michele"/>
        <s v="Michele (P)"/>
        <s v="Niko"/>
        <s v="Pasta"/>
        <s v="Piccolo"/>
        <s v="Pier"/>
        <s v="Pizzato"/>
        <s v="Rossi"/>
        <s v="Sassi"/>
        <s v="Scardino"/>
        <s v="Simone"/>
        <s v="Tino"/>
        <s v="Vietina"/>
        <s v="Zef"/>
        <s v="Extracom1"/>
        <s v="Extracom2"/>
        <s v="Extracom3"/>
        <s v="Andrea"/>
        <s v="Yannik"/>
        <s v="ZZ40"/>
        <s v="ZZ41"/>
        <s v="ZZ42"/>
        <s v="ZZ43"/>
        <s v="ZZ44"/>
        <s v="ZZ45"/>
        <s v="ZZ46"/>
        <s v="ZZ47"/>
        <s v="ZZ48"/>
        <s v="ZZ49"/>
        <s v="ZZ50"/>
        <m/>
      </sharedItems>
    </cacheField>
    <cacheField name="Partira" numFmtId="0">
      <sharedItems containsNonDate="0" containsDate="1" containsString="0" containsBlank="1" minDate="2026-01-20T00:00:00" maxDate="2026-01-21T00:00:00" count="2">
        <m/>
        <d v="2026-01-20T00:00:00"/>
      </sharedItems>
      <fieldGroup par="9"/>
    </cacheField>
    <cacheField name="G" numFmtId="0">
      <sharedItems containsString="0" containsBlank="1" containsNumber="1" containsInteger="1" minValue="1" maxValue="1"/>
    </cacheField>
    <cacheField name="V" numFmtId="0">
      <sharedItems containsString="0" containsBlank="1" containsNumber="1" containsInteger="1" minValue="1" maxValue="1"/>
    </cacheField>
    <cacheField name="P" numFmtId="0">
      <sharedItems containsNonDate="0" containsString="0" containsBlank="1"/>
    </cacheField>
    <cacheField name="S" numFmtId="0">
      <sharedItems containsString="0" containsBlank="1" containsNumber="1" containsInteger="1" minValue="1" maxValue="1"/>
    </cacheField>
    <cacheField name="GF" numFmtId="0">
      <sharedItems containsString="0" containsBlank="1" containsNumber="1" containsInteger="1" minValue="1" maxValue="2"/>
    </cacheField>
    <cacheField name="GFxP" numFmtId="0">
      <sharedItems containsString="0" containsBlank="1" containsNumber="1" containsInteger="1" minValue="0" maxValue="9"/>
    </cacheField>
    <cacheField name="Giorni (Partira)" numFmtId="0" databaseField="0">
      <fieldGroup base="1">
        <rangePr groupBy="days" startDate="2026-01-20T00:00:00" endDate="2026-01-21T00:00:00"/>
        <groupItems count="368">
          <s v="&lt;20/01/2026"/>
          <s v="01-gen"/>
          <s v="02-gen"/>
          <s v="03-gen"/>
          <s v="04-gen"/>
          <s v="05-gen"/>
          <s v="06-gen"/>
          <s v="07-gen"/>
          <s v="08-gen"/>
          <s v="09-gen"/>
          <s v="10-gen"/>
          <s v="11-gen"/>
          <s v="12-gen"/>
          <s v="13-gen"/>
          <s v="14-gen"/>
          <s v="15-gen"/>
          <s v="16-gen"/>
          <s v="17-gen"/>
          <s v="18-gen"/>
          <s v="19-gen"/>
          <s v="20-gen"/>
          <s v="21-gen"/>
          <s v="22-gen"/>
          <s v="23-gen"/>
          <s v="24-gen"/>
          <s v="25-gen"/>
          <s v="26-gen"/>
          <s v="27-gen"/>
          <s v="28-gen"/>
          <s v="29-gen"/>
          <s v="30-gen"/>
          <s v="31-ge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g"/>
          <s v="02-mag"/>
          <s v="03-mag"/>
          <s v="04-mag"/>
          <s v="05-mag"/>
          <s v="06-mag"/>
          <s v="07-mag"/>
          <s v="08-mag"/>
          <s v="09-mag"/>
          <s v="10-mag"/>
          <s v="11-mag"/>
          <s v="12-mag"/>
          <s v="13-mag"/>
          <s v="14-mag"/>
          <s v="15-mag"/>
          <s v="16-mag"/>
          <s v="17-mag"/>
          <s v="18-mag"/>
          <s v="19-mag"/>
          <s v="20-mag"/>
          <s v="21-mag"/>
          <s v="22-mag"/>
          <s v="23-mag"/>
          <s v="24-mag"/>
          <s v="25-mag"/>
          <s v="26-mag"/>
          <s v="27-mag"/>
          <s v="28-mag"/>
          <s v="29-mag"/>
          <s v="30-mag"/>
          <s v="31-mag"/>
          <s v="01-giu"/>
          <s v="02-giu"/>
          <s v="03-giu"/>
          <s v="04-giu"/>
          <s v="05-giu"/>
          <s v="06-giu"/>
          <s v="07-giu"/>
          <s v="08-giu"/>
          <s v="09-giu"/>
          <s v="10-giu"/>
          <s v="11-giu"/>
          <s v="12-giu"/>
          <s v="13-giu"/>
          <s v="14-giu"/>
          <s v="15-giu"/>
          <s v="16-giu"/>
          <s v="17-giu"/>
          <s v="18-giu"/>
          <s v="19-giu"/>
          <s v="20-giu"/>
          <s v="21-giu"/>
          <s v="22-giu"/>
          <s v="23-giu"/>
          <s v="24-giu"/>
          <s v="25-giu"/>
          <s v="26-giu"/>
          <s v="27-giu"/>
          <s v="28-giu"/>
          <s v="29-giu"/>
          <s v="30-giu"/>
          <s v="01-lug"/>
          <s v="02-lug"/>
          <s v="03-lug"/>
          <s v="04-lug"/>
          <s v="05-lug"/>
          <s v="06-lug"/>
          <s v="07-lug"/>
          <s v="08-lug"/>
          <s v="09-lug"/>
          <s v="10-lug"/>
          <s v="11-lug"/>
          <s v="12-lug"/>
          <s v="13-lug"/>
          <s v="14-lug"/>
          <s v="15-lug"/>
          <s v="16-lug"/>
          <s v="17-lug"/>
          <s v="18-lug"/>
          <s v="19-lug"/>
          <s v="20-lug"/>
          <s v="21-lug"/>
          <s v="22-lug"/>
          <s v="23-lug"/>
          <s v="24-lug"/>
          <s v="25-lug"/>
          <s v="26-lug"/>
          <s v="27-lug"/>
          <s v="28-lug"/>
          <s v="29-lug"/>
          <s v="30-lug"/>
          <s v="31-lug"/>
          <s v="01-ago"/>
          <s v="02-ago"/>
          <s v="03-ago"/>
          <s v="04-ago"/>
          <s v="05-ago"/>
          <s v="06-ago"/>
          <s v="07-ago"/>
          <s v="08-ago"/>
          <s v="09-ago"/>
          <s v="10-ago"/>
          <s v="11-ago"/>
          <s v="12-ago"/>
          <s v="13-ago"/>
          <s v="14-ago"/>
          <s v="15-ago"/>
          <s v="16-ago"/>
          <s v="17-ago"/>
          <s v="18-ago"/>
          <s v="19-ago"/>
          <s v="20-ago"/>
          <s v="21-ago"/>
          <s v="22-ago"/>
          <s v="23-ago"/>
          <s v="24-ago"/>
          <s v="25-ago"/>
          <s v="26-ago"/>
          <s v="27-ago"/>
          <s v="28-ago"/>
          <s v="29-ago"/>
          <s v="30-ago"/>
          <s v="31-ago"/>
          <s v="01-set"/>
          <s v="02-set"/>
          <s v="03-set"/>
          <s v="04-set"/>
          <s v="05-set"/>
          <s v="06-set"/>
          <s v="07-set"/>
          <s v="08-set"/>
          <s v="09-set"/>
          <s v="10-set"/>
          <s v="11-set"/>
          <s v="12-set"/>
          <s v="13-set"/>
          <s v="14-set"/>
          <s v="15-set"/>
          <s v="16-set"/>
          <s v="17-set"/>
          <s v="18-set"/>
          <s v="19-set"/>
          <s v="20-set"/>
          <s v="21-set"/>
          <s v="22-set"/>
          <s v="23-set"/>
          <s v="24-set"/>
          <s v="25-set"/>
          <s v="26-set"/>
          <s v="27-set"/>
          <s v="28-set"/>
          <s v="29-set"/>
          <s v="30-set"/>
          <s v="01-ott"/>
          <s v="02-ott"/>
          <s v="03-ott"/>
          <s v="04-ott"/>
          <s v="05-ott"/>
          <s v="06-ott"/>
          <s v="07-ott"/>
          <s v="08-ott"/>
          <s v="09-ott"/>
          <s v="10-ott"/>
          <s v="11-ott"/>
          <s v="12-ott"/>
          <s v="13-ott"/>
          <s v="14-ott"/>
          <s v="15-ott"/>
          <s v="16-ott"/>
          <s v="17-ott"/>
          <s v="18-ott"/>
          <s v="19-ott"/>
          <s v="20-ott"/>
          <s v="21-ott"/>
          <s v="22-ott"/>
          <s v="23-ott"/>
          <s v="24-ott"/>
          <s v="25-ott"/>
          <s v="26-ott"/>
          <s v="27-ott"/>
          <s v="28-ott"/>
          <s v="29-ott"/>
          <s v="30-ott"/>
          <s v="31-ot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ic"/>
          <s v="02-dic"/>
          <s v="03-dic"/>
          <s v="04-dic"/>
          <s v="05-dic"/>
          <s v="06-dic"/>
          <s v="07-dic"/>
          <s v="08-dic"/>
          <s v="09-dic"/>
          <s v="10-dic"/>
          <s v="11-dic"/>
          <s v="12-dic"/>
          <s v="13-dic"/>
          <s v="14-dic"/>
          <s v="15-dic"/>
          <s v="16-dic"/>
          <s v="17-dic"/>
          <s v="18-dic"/>
          <s v="19-dic"/>
          <s v="20-dic"/>
          <s v="21-dic"/>
          <s v="22-dic"/>
          <s v="23-dic"/>
          <s v="24-dic"/>
          <s v="25-dic"/>
          <s v="26-dic"/>
          <s v="27-dic"/>
          <s v="28-dic"/>
          <s v="29-dic"/>
          <s v="30-dic"/>
          <s v="31-dic"/>
          <s v="&gt;21/01/2026"/>
        </groupItems>
      </fieldGroup>
    </cacheField>
    <cacheField name="Mesi (Partira)" numFmtId="0" databaseField="0">
      <fieldGroup base="1">
        <rangePr groupBy="months" startDate="2026-01-20T00:00:00" endDate="2026-01-21T00:00:00"/>
        <groupItems count="14">
          <s v="&lt;20/01/2026"/>
          <s v="gen"/>
          <s v="feb"/>
          <s v="mar"/>
          <s v="apr"/>
          <s v="mag"/>
          <s v="giu"/>
          <s v="lug"/>
          <s v="ago"/>
          <s v="set"/>
          <s v="ott"/>
          <s v="nov"/>
          <s v="dic"/>
          <s v="&gt;21/01/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">
  <r>
    <x v="0"/>
    <x v="0"/>
    <m/>
    <m/>
    <m/>
    <m/>
    <m/>
    <n v="0"/>
  </r>
  <r>
    <x v="1"/>
    <x v="0"/>
    <m/>
    <m/>
    <m/>
    <m/>
    <m/>
    <m/>
  </r>
  <r>
    <x v="2"/>
    <x v="0"/>
    <m/>
    <m/>
    <m/>
    <m/>
    <m/>
    <m/>
  </r>
  <r>
    <x v="3"/>
    <x v="0"/>
    <m/>
    <m/>
    <m/>
    <m/>
    <m/>
    <m/>
  </r>
  <r>
    <x v="4"/>
    <x v="0"/>
    <m/>
    <m/>
    <m/>
    <m/>
    <m/>
    <m/>
  </r>
  <r>
    <x v="5"/>
    <x v="0"/>
    <m/>
    <m/>
    <m/>
    <m/>
    <m/>
    <m/>
  </r>
  <r>
    <x v="6"/>
    <x v="0"/>
    <m/>
    <m/>
    <m/>
    <m/>
    <m/>
    <m/>
  </r>
  <r>
    <x v="7"/>
    <x v="0"/>
    <m/>
    <m/>
    <m/>
    <m/>
    <m/>
    <m/>
  </r>
  <r>
    <x v="8"/>
    <x v="0"/>
    <m/>
    <m/>
    <m/>
    <m/>
    <m/>
    <m/>
  </r>
  <r>
    <x v="9"/>
    <x v="0"/>
    <m/>
    <m/>
    <m/>
    <m/>
    <m/>
    <m/>
  </r>
  <r>
    <x v="10"/>
    <x v="0"/>
    <m/>
    <m/>
    <m/>
    <m/>
    <m/>
    <m/>
  </r>
  <r>
    <x v="11"/>
    <x v="0"/>
    <m/>
    <m/>
    <m/>
    <m/>
    <m/>
    <m/>
  </r>
  <r>
    <x v="12"/>
    <x v="0"/>
    <m/>
    <m/>
    <m/>
    <m/>
    <m/>
    <m/>
  </r>
  <r>
    <x v="13"/>
    <x v="0"/>
    <m/>
    <m/>
    <m/>
    <m/>
    <m/>
    <m/>
  </r>
  <r>
    <x v="14"/>
    <x v="0"/>
    <m/>
    <m/>
    <m/>
    <m/>
    <m/>
    <m/>
  </r>
  <r>
    <x v="15"/>
    <x v="0"/>
    <m/>
    <m/>
    <m/>
    <m/>
    <m/>
    <m/>
  </r>
  <r>
    <x v="16"/>
    <x v="0"/>
    <m/>
    <m/>
    <m/>
    <m/>
    <m/>
    <m/>
  </r>
  <r>
    <x v="17"/>
    <x v="0"/>
    <m/>
    <m/>
    <m/>
    <m/>
    <m/>
    <m/>
  </r>
  <r>
    <x v="18"/>
    <x v="0"/>
    <m/>
    <m/>
    <m/>
    <m/>
    <m/>
    <m/>
  </r>
  <r>
    <x v="19"/>
    <x v="0"/>
    <m/>
    <m/>
    <m/>
    <m/>
    <m/>
    <m/>
  </r>
  <r>
    <x v="20"/>
    <x v="0"/>
    <m/>
    <m/>
    <m/>
    <m/>
    <m/>
    <m/>
  </r>
  <r>
    <x v="21"/>
    <x v="0"/>
    <m/>
    <m/>
    <m/>
    <m/>
    <m/>
    <m/>
  </r>
  <r>
    <x v="22"/>
    <x v="0"/>
    <m/>
    <m/>
    <m/>
    <m/>
    <m/>
    <m/>
  </r>
  <r>
    <x v="23"/>
    <x v="0"/>
    <m/>
    <m/>
    <m/>
    <m/>
    <m/>
    <m/>
  </r>
  <r>
    <x v="24"/>
    <x v="0"/>
    <m/>
    <m/>
    <m/>
    <m/>
    <m/>
    <m/>
  </r>
  <r>
    <x v="25"/>
    <x v="0"/>
    <m/>
    <m/>
    <m/>
    <m/>
    <m/>
    <m/>
  </r>
  <r>
    <x v="26"/>
    <x v="0"/>
    <m/>
    <m/>
    <m/>
    <m/>
    <m/>
    <m/>
  </r>
  <r>
    <x v="27"/>
    <x v="0"/>
    <m/>
    <m/>
    <m/>
    <m/>
    <m/>
    <m/>
  </r>
  <r>
    <x v="28"/>
    <x v="0"/>
    <m/>
    <m/>
    <m/>
    <m/>
    <m/>
    <m/>
  </r>
  <r>
    <x v="29"/>
    <x v="0"/>
    <m/>
    <m/>
    <m/>
    <m/>
    <m/>
    <m/>
  </r>
  <r>
    <x v="30"/>
    <x v="0"/>
    <m/>
    <m/>
    <m/>
    <m/>
    <m/>
    <m/>
  </r>
  <r>
    <x v="31"/>
    <x v="0"/>
    <m/>
    <m/>
    <m/>
    <m/>
    <m/>
    <m/>
  </r>
  <r>
    <x v="32"/>
    <x v="0"/>
    <m/>
    <m/>
    <m/>
    <m/>
    <m/>
    <m/>
  </r>
  <r>
    <x v="33"/>
    <x v="0"/>
    <m/>
    <m/>
    <m/>
    <m/>
    <m/>
    <m/>
  </r>
  <r>
    <x v="34"/>
    <x v="0"/>
    <m/>
    <m/>
    <m/>
    <m/>
    <m/>
    <m/>
  </r>
  <r>
    <x v="35"/>
    <x v="0"/>
    <m/>
    <m/>
    <m/>
    <m/>
    <m/>
    <m/>
  </r>
  <r>
    <x v="36"/>
    <x v="0"/>
    <m/>
    <m/>
    <m/>
    <m/>
    <m/>
    <m/>
  </r>
  <r>
    <x v="37"/>
    <x v="0"/>
    <m/>
    <m/>
    <m/>
    <m/>
    <m/>
    <m/>
  </r>
  <r>
    <x v="38"/>
    <x v="0"/>
    <m/>
    <m/>
    <m/>
    <m/>
    <m/>
    <m/>
  </r>
  <r>
    <x v="39"/>
    <x v="0"/>
    <m/>
    <m/>
    <m/>
    <m/>
    <m/>
    <m/>
  </r>
  <r>
    <x v="40"/>
    <x v="0"/>
    <m/>
    <m/>
    <m/>
    <m/>
    <m/>
    <m/>
  </r>
  <r>
    <x v="41"/>
    <x v="0"/>
    <m/>
    <m/>
    <m/>
    <m/>
    <m/>
    <m/>
  </r>
  <r>
    <x v="42"/>
    <x v="0"/>
    <m/>
    <m/>
    <m/>
    <m/>
    <m/>
    <m/>
  </r>
  <r>
    <x v="43"/>
    <x v="0"/>
    <m/>
    <m/>
    <m/>
    <m/>
    <m/>
    <m/>
  </r>
  <r>
    <x v="44"/>
    <x v="0"/>
    <m/>
    <m/>
    <m/>
    <m/>
    <m/>
    <m/>
  </r>
  <r>
    <x v="45"/>
    <x v="0"/>
    <m/>
    <m/>
    <m/>
    <m/>
    <m/>
    <m/>
  </r>
  <r>
    <x v="46"/>
    <x v="0"/>
    <m/>
    <m/>
    <m/>
    <m/>
    <m/>
    <m/>
  </r>
  <r>
    <x v="47"/>
    <x v="0"/>
    <m/>
    <m/>
    <m/>
    <m/>
    <m/>
    <m/>
  </r>
  <r>
    <x v="48"/>
    <x v="0"/>
    <m/>
    <m/>
    <m/>
    <m/>
    <m/>
    <m/>
  </r>
  <r>
    <x v="49"/>
    <x v="0"/>
    <m/>
    <m/>
    <m/>
    <m/>
    <m/>
    <m/>
  </r>
  <r>
    <x v="13"/>
    <x v="1"/>
    <n v="1"/>
    <n v="1"/>
    <m/>
    <m/>
    <m/>
    <n v="8"/>
  </r>
  <r>
    <x v="37"/>
    <x v="1"/>
    <n v="1"/>
    <n v="1"/>
    <m/>
    <m/>
    <n v="1"/>
    <m/>
  </r>
  <r>
    <x v="2"/>
    <x v="1"/>
    <n v="1"/>
    <n v="1"/>
    <m/>
    <m/>
    <m/>
    <m/>
  </r>
  <r>
    <x v="7"/>
    <x v="1"/>
    <n v="1"/>
    <n v="1"/>
    <m/>
    <m/>
    <n v="1"/>
    <m/>
  </r>
  <r>
    <x v="9"/>
    <x v="1"/>
    <n v="1"/>
    <n v="1"/>
    <m/>
    <m/>
    <m/>
    <m/>
  </r>
  <r>
    <x v="11"/>
    <x v="1"/>
    <n v="1"/>
    <n v="1"/>
    <m/>
    <m/>
    <n v="2"/>
    <m/>
  </r>
  <r>
    <x v="12"/>
    <x v="1"/>
    <n v="1"/>
    <n v="1"/>
    <m/>
    <m/>
    <m/>
    <m/>
  </r>
  <r>
    <x v="29"/>
    <x v="1"/>
    <n v="1"/>
    <n v="1"/>
    <m/>
    <m/>
    <n v="1"/>
    <m/>
  </r>
  <r>
    <x v="17"/>
    <x v="1"/>
    <n v="1"/>
    <m/>
    <m/>
    <n v="1"/>
    <m/>
    <m/>
  </r>
  <r>
    <x v="14"/>
    <x v="1"/>
    <n v="1"/>
    <m/>
    <m/>
    <n v="1"/>
    <m/>
    <m/>
  </r>
  <r>
    <x v="19"/>
    <x v="1"/>
    <n v="1"/>
    <m/>
    <m/>
    <n v="1"/>
    <m/>
    <m/>
  </r>
  <r>
    <x v="20"/>
    <x v="1"/>
    <n v="1"/>
    <m/>
    <m/>
    <n v="1"/>
    <m/>
    <m/>
  </r>
  <r>
    <x v="23"/>
    <x v="1"/>
    <n v="1"/>
    <m/>
    <m/>
    <n v="1"/>
    <m/>
    <m/>
  </r>
  <r>
    <x v="24"/>
    <x v="1"/>
    <n v="1"/>
    <m/>
    <m/>
    <n v="1"/>
    <m/>
    <m/>
  </r>
  <r>
    <x v="27"/>
    <x v="1"/>
    <n v="1"/>
    <m/>
    <m/>
    <n v="1"/>
    <n v="1"/>
    <m/>
  </r>
  <r>
    <x v="34"/>
    <x v="1"/>
    <n v="1"/>
    <m/>
    <m/>
    <n v="1"/>
    <n v="2"/>
    <m/>
  </r>
  <r>
    <x v="0"/>
    <x v="1"/>
    <n v="1"/>
    <n v="1"/>
    <m/>
    <m/>
    <m/>
    <n v="6"/>
  </r>
  <r>
    <x v="37"/>
    <x v="1"/>
    <n v="1"/>
    <n v="1"/>
    <m/>
    <m/>
    <m/>
    <m/>
  </r>
  <r>
    <x v="2"/>
    <x v="1"/>
    <n v="1"/>
    <n v="1"/>
    <m/>
    <m/>
    <n v="1"/>
    <m/>
  </r>
  <r>
    <x v="11"/>
    <x v="1"/>
    <n v="1"/>
    <n v="1"/>
    <m/>
    <m/>
    <n v="1"/>
    <m/>
  </r>
  <r>
    <x v="14"/>
    <x v="1"/>
    <n v="1"/>
    <n v="1"/>
    <m/>
    <m/>
    <n v="1"/>
    <m/>
  </r>
  <r>
    <x v="15"/>
    <x v="1"/>
    <n v="1"/>
    <n v="1"/>
    <m/>
    <m/>
    <m/>
    <m/>
  </r>
  <r>
    <x v="23"/>
    <x v="1"/>
    <n v="1"/>
    <n v="1"/>
    <m/>
    <m/>
    <m/>
    <m/>
  </r>
  <r>
    <x v="38"/>
    <x v="1"/>
    <n v="1"/>
    <n v="1"/>
    <m/>
    <m/>
    <n v="1"/>
    <m/>
  </r>
  <r>
    <x v="9"/>
    <x v="1"/>
    <n v="1"/>
    <m/>
    <m/>
    <n v="1"/>
    <m/>
    <m/>
  </r>
  <r>
    <x v="12"/>
    <x v="1"/>
    <n v="1"/>
    <m/>
    <m/>
    <n v="1"/>
    <m/>
    <m/>
  </r>
  <r>
    <x v="19"/>
    <x v="1"/>
    <n v="1"/>
    <m/>
    <m/>
    <n v="1"/>
    <m/>
    <m/>
  </r>
  <r>
    <x v="20"/>
    <x v="1"/>
    <n v="1"/>
    <m/>
    <m/>
    <n v="1"/>
    <m/>
    <m/>
  </r>
  <r>
    <x v="24"/>
    <x v="1"/>
    <n v="1"/>
    <m/>
    <m/>
    <n v="1"/>
    <m/>
    <m/>
  </r>
  <r>
    <x v="32"/>
    <x v="1"/>
    <n v="1"/>
    <m/>
    <m/>
    <n v="1"/>
    <n v="1"/>
    <m/>
  </r>
  <r>
    <x v="35"/>
    <x v="1"/>
    <n v="1"/>
    <m/>
    <m/>
    <n v="1"/>
    <n v="1"/>
    <m/>
  </r>
  <r>
    <x v="36"/>
    <x v="1"/>
    <n v="1"/>
    <m/>
    <m/>
    <n v="1"/>
    <m/>
    <m/>
  </r>
  <r>
    <x v="3"/>
    <x v="1"/>
    <n v="1"/>
    <n v="1"/>
    <m/>
    <m/>
    <n v="1"/>
    <n v="9"/>
  </r>
  <r>
    <x v="9"/>
    <x v="1"/>
    <n v="1"/>
    <n v="1"/>
    <m/>
    <m/>
    <m/>
    <m/>
  </r>
  <r>
    <x v="11"/>
    <x v="1"/>
    <n v="1"/>
    <n v="1"/>
    <m/>
    <m/>
    <n v="2"/>
    <m/>
  </r>
  <r>
    <x v="12"/>
    <x v="1"/>
    <n v="1"/>
    <n v="1"/>
    <m/>
    <m/>
    <n v="1"/>
    <m/>
  </r>
  <r>
    <x v="15"/>
    <x v="1"/>
    <n v="1"/>
    <n v="1"/>
    <m/>
    <m/>
    <m/>
    <m/>
  </r>
  <r>
    <x v="19"/>
    <x v="1"/>
    <n v="1"/>
    <n v="1"/>
    <m/>
    <m/>
    <m/>
    <m/>
  </r>
  <r>
    <x v="23"/>
    <x v="1"/>
    <n v="1"/>
    <n v="1"/>
    <m/>
    <m/>
    <m/>
    <m/>
  </r>
  <r>
    <x v="32"/>
    <x v="1"/>
    <n v="1"/>
    <n v="1"/>
    <m/>
    <m/>
    <n v="1"/>
    <m/>
  </r>
  <r>
    <x v="0"/>
    <x v="1"/>
    <n v="1"/>
    <m/>
    <m/>
    <n v="1"/>
    <m/>
    <m/>
  </r>
  <r>
    <x v="37"/>
    <x v="1"/>
    <n v="1"/>
    <m/>
    <m/>
    <n v="1"/>
    <m/>
    <m/>
  </r>
  <r>
    <x v="2"/>
    <x v="1"/>
    <n v="1"/>
    <m/>
    <m/>
    <n v="1"/>
    <n v="1"/>
    <m/>
  </r>
  <r>
    <x v="7"/>
    <x v="1"/>
    <n v="1"/>
    <m/>
    <m/>
    <n v="1"/>
    <m/>
    <m/>
  </r>
  <r>
    <x v="14"/>
    <x v="1"/>
    <n v="1"/>
    <m/>
    <m/>
    <n v="1"/>
    <n v="1"/>
    <m/>
  </r>
  <r>
    <x v="24"/>
    <x v="1"/>
    <n v="1"/>
    <m/>
    <m/>
    <n v="1"/>
    <m/>
    <m/>
  </r>
  <r>
    <x v="27"/>
    <x v="1"/>
    <n v="1"/>
    <m/>
    <m/>
    <n v="1"/>
    <n v="1"/>
    <m/>
  </r>
  <r>
    <x v="34"/>
    <x v="1"/>
    <n v="1"/>
    <m/>
    <m/>
    <n v="1"/>
    <n v="1"/>
    <m/>
  </r>
  <r>
    <x v="50"/>
    <x v="0"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4697932-DCF5-4A87-9C93-15B61B3F95CF}" name="Tabella pivot3" cacheId="5" applyNumberFormats="0" applyBorderFormats="0" applyFontFormats="0" applyPatternFormats="0" applyAlignmentFormats="0" applyWidthHeightFormats="1" dataCaption="Valori" updatedVersion="8" minRefreshableVersion="3" useAutoFormatting="1" itemPrintTitles="1" createdVersion="8" indent="0" outline="1" outlineData="1" multipleFieldFilters="0">
  <location ref="A3:F55" firstHeaderRow="0" firstDataRow="1" firstDataCol="1"/>
  <pivotFields count="10">
    <pivotField axis="axisRow" showAll="0" sortType="ascending">
      <items count="52">
        <item x="0"/>
        <item x="1"/>
        <item x="37"/>
        <item x="2"/>
        <item x="3"/>
        <item x="4"/>
        <item x="5"/>
        <item x="6"/>
        <item x="7"/>
        <item x="8"/>
        <item x="9"/>
        <item x="34"/>
        <item x="35"/>
        <item x="36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8"/>
        <item x="33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t="default"/>
      </items>
    </pivotField>
    <pivotField showAll="0">
      <items count="3">
        <item x="0"/>
        <item x="1"/>
        <item t="default"/>
      </items>
    </pivotField>
    <pivotField dataField="1" showAll="0"/>
    <pivotField dataField="1" showAll="0"/>
    <pivotField dataField="1" showAll="0"/>
    <pivotField dataField="1" showAll="0"/>
    <pivotField dataField="1" showAll="0"/>
    <pivotField showAll="0"/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0"/>
  </rowFields>
  <rowItems count="5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Somma di G" fld="2" baseField="0" baseItem="0"/>
    <dataField name="Somma di V" fld="3" baseField="0" baseItem="0"/>
    <dataField name="Somma di P" fld="4" baseField="0" baseItem="0"/>
    <dataField name="Somma di S" fld="5" baseField="0" baseItem="0"/>
    <dataField name="Somma di GF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D310CE0-D59D-4414-B150-D29B026BFBB7}" name="Tabella pivot6" cacheId="5" applyNumberFormats="0" applyBorderFormats="0" applyFontFormats="0" applyPatternFormats="0" applyAlignmentFormats="0" applyWidthHeightFormats="1" dataCaption="Valori" updatedVersion="8" minRefreshableVersion="3" useAutoFormatting="1" itemPrintTitles="1" createdVersion="8" indent="0" outline="1" outlineData="1" multipleFieldFilters="0">
  <location ref="A3:D55" firstHeaderRow="0" firstDataRow="1" firstDataCol="1"/>
  <pivotFields count="10">
    <pivotField axis="axisRow" showAll="0" sortType="ascending">
      <items count="52">
        <item x="0"/>
        <item x="1"/>
        <item x="37"/>
        <item x="2"/>
        <item x="3"/>
        <item x="4"/>
        <item x="5"/>
        <item x="6"/>
        <item x="7"/>
        <item x="8"/>
        <item x="9"/>
        <item x="34"/>
        <item x="35"/>
        <item x="36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8"/>
        <item x="33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t="default"/>
      </items>
    </pivotField>
    <pivotField showAll="0">
      <items count="3">
        <item x="0"/>
        <item x="1"/>
        <item t="default"/>
      </items>
    </pivotField>
    <pivotField dataField="1" showAll="0"/>
    <pivotField showAll="0"/>
    <pivotField showAll="0"/>
    <pivotField showAll="0"/>
    <pivotField dataField="1" showAll="0"/>
    <pivotField dataField="1" showAll="0"/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0"/>
  </rowFields>
  <rowItems count="5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omma di GF" fld="6" baseField="0" baseItem="0"/>
    <dataField name="Somma di GFxP" fld="7" baseField="0" baseItem="0"/>
    <dataField name="Somma di G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ella1" displayName="Tabella1" ref="A1:F51" totalsRowShown="0" dataDxfId="9">
  <autoFilter ref="A1:F51" xr:uid="{00000000-0009-0000-0100-000001000000}"/>
  <sortState xmlns:xlrd2="http://schemas.microsoft.com/office/spreadsheetml/2017/richdata2" ref="A2:F2">
    <sortCondition ref="A1:A2"/>
  </sortState>
  <tableColumns count="6">
    <tableColumn id="1" xr3:uid="{00000000-0010-0000-0000-000001000000}" name="Giocatore" dataDxfId="8"/>
    <tableColumn id="2" xr3:uid="{00000000-0010-0000-0000-000002000000}" name="Partira" dataDxfId="7"/>
    <tableColumn id="3" xr3:uid="{00000000-0010-0000-0000-000003000000}" name="G" dataDxfId="6"/>
    <tableColumn id="4" xr3:uid="{00000000-0010-0000-0000-000004000000}" name="V" dataDxfId="5"/>
    <tableColumn id="5" xr3:uid="{00000000-0010-0000-0000-000005000000}" name="P" dataDxfId="4"/>
    <tableColumn id="6" xr3:uid="{00000000-0010-0000-0000-000006000000}" name="S" dataDxfId="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9"/>
  <sheetViews>
    <sheetView zoomScaleNormal="100" workbookViewId="0">
      <pane ySplit="1" topLeftCell="A74" activePane="bottomLeft" state="frozen"/>
      <selection activeCell="B1" sqref="B1"/>
      <selection pane="bottomLeft" activeCell="G96" sqref="G96"/>
    </sheetView>
  </sheetViews>
  <sheetFormatPr defaultRowHeight="15" x14ac:dyDescent="0.25"/>
  <cols>
    <col min="1" max="1" width="15.28515625" bestFit="1" customWidth="1"/>
    <col min="2" max="2" width="14.140625" style="1" customWidth="1"/>
    <col min="3" max="3" width="14.140625" customWidth="1"/>
    <col min="4" max="4" width="14.140625" style="2" customWidth="1"/>
    <col min="5" max="6" width="14.140625" customWidth="1"/>
    <col min="7" max="7" width="14.140625" style="35" customWidth="1"/>
    <col min="8" max="8" width="13.42578125" style="35" customWidth="1"/>
  </cols>
  <sheetData>
    <row r="1" spans="1:9" x14ac:dyDescent="0.25">
      <c r="A1" t="s">
        <v>25</v>
      </c>
      <c r="B1" s="1" t="s">
        <v>26</v>
      </c>
      <c r="C1" s="1" t="s">
        <v>7</v>
      </c>
      <c r="D1" s="1" t="s">
        <v>1</v>
      </c>
      <c r="E1" s="1" t="s">
        <v>11</v>
      </c>
      <c r="F1" s="1" t="s">
        <v>3</v>
      </c>
      <c r="G1" s="49" t="s">
        <v>20</v>
      </c>
      <c r="H1" s="49" t="s">
        <v>27</v>
      </c>
    </row>
    <row r="2" spans="1:9" x14ac:dyDescent="0.25">
      <c r="A2" s="45" t="s">
        <v>32</v>
      </c>
      <c r="B2" s="6"/>
      <c r="C2" s="5"/>
      <c r="D2" s="7"/>
      <c r="E2" s="5"/>
      <c r="F2" s="5"/>
      <c r="G2" s="46"/>
      <c r="H2" s="46">
        <f>SUM(G2:G2)</f>
        <v>0</v>
      </c>
      <c r="I2" s="45"/>
    </row>
    <row r="3" spans="1:9" x14ac:dyDescent="0.25">
      <c r="A3" s="45" t="s">
        <v>63</v>
      </c>
      <c r="B3" s="6"/>
      <c r="C3" s="5"/>
      <c r="D3" s="7"/>
      <c r="E3" s="5"/>
      <c r="F3" s="5"/>
    </row>
    <row r="4" spans="1:9" x14ac:dyDescent="0.25">
      <c r="A4" s="45" t="s">
        <v>65</v>
      </c>
      <c r="B4" s="6"/>
      <c r="C4" s="5"/>
      <c r="D4" s="7"/>
      <c r="E4" s="5"/>
      <c r="F4" s="5"/>
    </row>
    <row r="5" spans="1:9" x14ac:dyDescent="0.25">
      <c r="A5" s="45" t="s">
        <v>33</v>
      </c>
      <c r="B5" s="6"/>
      <c r="C5" s="5"/>
      <c r="D5" s="7"/>
      <c r="E5" s="5"/>
      <c r="F5" s="5"/>
    </row>
    <row r="6" spans="1:9" x14ac:dyDescent="0.25">
      <c r="A6" s="45" t="s">
        <v>34</v>
      </c>
      <c r="B6" s="6"/>
      <c r="C6" s="5"/>
      <c r="D6" s="7"/>
      <c r="E6" s="5"/>
      <c r="F6" s="5"/>
    </row>
    <row r="7" spans="1:9" x14ac:dyDescent="0.25">
      <c r="A7" s="45" t="s">
        <v>35</v>
      </c>
      <c r="B7" s="6"/>
      <c r="C7" s="5"/>
      <c r="D7" s="7"/>
      <c r="E7" s="5"/>
      <c r="F7" s="5"/>
    </row>
    <row r="8" spans="1:9" x14ac:dyDescent="0.25">
      <c r="A8" s="45" t="s">
        <v>36</v>
      </c>
      <c r="B8" s="6"/>
      <c r="C8" s="5"/>
      <c r="D8" s="7"/>
      <c r="E8" s="5"/>
      <c r="F8" s="5"/>
    </row>
    <row r="9" spans="1:9" x14ac:dyDescent="0.25">
      <c r="A9" s="45" t="s">
        <v>37</v>
      </c>
      <c r="B9" s="6"/>
      <c r="C9" s="5"/>
      <c r="D9" s="7"/>
      <c r="E9" s="5"/>
      <c r="F9" s="5"/>
    </row>
    <row r="10" spans="1:9" x14ac:dyDescent="0.25">
      <c r="A10" s="45" t="s">
        <v>62</v>
      </c>
      <c r="B10" s="6"/>
      <c r="C10" s="5"/>
      <c r="D10" s="7"/>
      <c r="E10" s="5"/>
      <c r="F10" s="5"/>
    </row>
    <row r="11" spans="1:9" x14ac:dyDescent="0.25">
      <c r="A11" s="45" t="s">
        <v>38</v>
      </c>
      <c r="B11" s="6"/>
      <c r="C11" s="5"/>
      <c r="D11" s="7"/>
      <c r="E11" s="5"/>
      <c r="F11" s="5"/>
    </row>
    <row r="12" spans="1:9" x14ac:dyDescent="0.25">
      <c r="A12" s="45" t="s">
        <v>39</v>
      </c>
      <c r="B12" s="6"/>
      <c r="C12" s="5"/>
      <c r="D12" s="7"/>
      <c r="E12" s="5"/>
      <c r="F12" s="5"/>
    </row>
    <row r="13" spans="1:9" x14ac:dyDescent="0.25">
      <c r="A13" s="45" t="s">
        <v>40</v>
      </c>
      <c r="B13" s="6"/>
      <c r="C13" s="5"/>
      <c r="D13" s="7"/>
      <c r="E13" s="5"/>
      <c r="F13" s="5"/>
    </row>
    <row r="14" spans="1:9" x14ac:dyDescent="0.25">
      <c r="A14" s="45" t="s">
        <v>41</v>
      </c>
      <c r="B14" s="6"/>
      <c r="C14" s="5"/>
      <c r="D14" s="7"/>
      <c r="E14" s="5"/>
      <c r="F14" s="5"/>
    </row>
    <row r="15" spans="1:9" x14ac:dyDescent="0.25">
      <c r="A15" s="45" t="s">
        <v>42</v>
      </c>
      <c r="B15" s="6"/>
      <c r="C15" s="5"/>
      <c r="D15" s="7"/>
      <c r="E15" s="5"/>
      <c r="F15" s="5"/>
    </row>
    <row r="16" spans="1:9" x14ac:dyDescent="0.25">
      <c r="A16" s="45" t="s">
        <v>43</v>
      </c>
      <c r="B16" s="6"/>
      <c r="C16" s="5"/>
      <c r="D16" s="7"/>
      <c r="E16" s="5"/>
      <c r="F16" s="5"/>
    </row>
    <row r="17" spans="1:6" x14ac:dyDescent="0.25">
      <c r="A17" s="45" t="s">
        <v>44</v>
      </c>
      <c r="B17" s="6"/>
      <c r="C17" s="5"/>
      <c r="D17" s="7"/>
      <c r="E17" s="5"/>
      <c r="F17" s="5"/>
    </row>
    <row r="18" spans="1:6" x14ac:dyDescent="0.25">
      <c r="A18" s="45" t="s">
        <v>45</v>
      </c>
      <c r="B18" s="6"/>
      <c r="C18" s="5"/>
      <c r="D18" s="7"/>
      <c r="E18" s="5"/>
      <c r="F18" s="5"/>
    </row>
    <row r="19" spans="1:6" x14ac:dyDescent="0.25">
      <c r="A19" s="45" t="s">
        <v>46</v>
      </c>
      <c r="B19" s="6"/>
      <c r="C19" s="5"/>
      <c r="D19" s="7"/>
      <c r="E19" s="5"/>
      <c r="F19" s="5"/>
    </row>
    <row r="20" spans="1:6" x14ac:dyDescent="0.25">
      <c r="A20" s="45" t="s">
        <v>47</v>
      </c>
      <c r="B20" s="6"/>
      <c r="C20" s="5"/>
      <c r="D20" s="7"/>
      <c r="E20" s="5"/>
      <c r="F20" s="5"/>
    </row>
    <row r="21" spans="1:6" x14ac:dyDescent="0.25">
      <c r="A21" s="45" t="s">
        <v>64</v>
      </c>
      <c r="B21" s="6"/>
      <c r="C21" s="5"/>
      <c r="D21" s="7"/>
      <c r="E21" s="5"/>
      <c r="F21" s="5"/>
    </row>
    <row r="22" spans="1:6" x14ac:dyDescent="0.25">
      <c r="A22" s="45" t="s">
        <v>48</v>
      </c>
      <c r="B22" s="6"/>
      <c r="C22" s="5"/>
      <c r="D22" s="7"/>
      <c r="E22" s="5"/>
      <c r="F22" s="5"/>
    </row>
    <row r="23" spans="1:6" x14ac:dyDescent="0.25">
      <c r="A23" s="45" t="s">
        <v>60</v>
      </c>
      <c r="B23" s="6"/>
      <c r="C23" s="5"/>
      <c r="D23" s="7"/>
      <c r="E23" s="5"/>
      <c r="F23" s="5"/>
    </row>
    <row r="24" spans="1:6" x14ac:dyDescent="0.25">
      <c r="A24" s="45" t="s">
        <v>49</v>
      </c>
      <c r="B24" s="6"/>
      <c r="C24" s="5"/>
      <c r="D24" s="7"/>
      <c r="E24" s="5"/>
      <c r="F24" s="5"/>
    </row>
    <row r="25" spans="1:6" x14ac:dyDescent="0.25">
      <c r="A25" s="45" t="s">
        <v>50</v>
      </c>
      <c r="B25" s="6"/>
      <c r="C25" s="5"/>
      <c r="D25" s="7"/>
      <c r="E25" s="5"/>
      <c r="F25" s="5"/>
    </row>
    <row r="26" spans="1:6" x14ac:dyDescent="0.25">
      <c r="A26" s="45" t="s">
        <v>51</v>
      </c>
      <c r="B26" s="6"/>
      <c r="C26" s="5"/>
      <c r="D26" s="7"/>
      <c r="E26" s="5"/>
      <c r="F26" s="5"/>
    </row>
    <row r="27" spans="1:6" x14ac:dyDescent="0.25">
      <c r="A27" s="45" t="s">
        <v>52</v>
      </c>
      <c r="B27" s="6"/>
      <c r="C27" s="5"/>
      <c r="D27" s="7"/>
      <c r="E27" s="5"/>
      <c r="F27" s="5"/>
    </row>
    <row r="28" spans="1:6" x14ac:dyDescent="0.25">
      <c r="A28" s="45" t="s">
        <v>53</v>
      </c>
      <c r="B28" s="6"/>
      <c r="C28" s="5"/>
      <c r="D28" s="7"/>
      <c r="E28" s="5"/>
      <c r="F28" s="5"/>
    </row>
    <row r="29" spans="1:6" x14ac:dyDescent="0.25">
      <c r="A29" s="45" t="s">
        <v>61</v>
      </c>
      <c r="B29" s="6"/>
      <c r="C29" s="5"/>
      <c r="D29" s="7"/>
      <c r="E29" s="5"/>
      <c r="F29" s="5"/>
    </row>
    <row r="30" spans="1:6" x14ac:dyDescent="0.25">
      <c r="A30" s="45" t="s">
        <v>54</v>
      </c>
      <c r="B30" s="6"/>
      <c r="C30" s="5"/>
      <c r="D30" s="7"/>
      <c r="E30" s="5"/>
      <c r="F30" s="5"/>
    </row>
    <row r="31" spans="1:6" x14ac:dyDescent="0.25">
      <c r="A31" s="45" t="s">
        <v>55</v>
      </c>
      <c r="B31" s="6"/>
      <c r="C31" s="5"/>
      <c r="D31" s="7"/>
      <c r="E31" s="5"/>
      <c r="F31" s="5"/>
    </row>
    <row r="32" spans="1:6" x14ac:dyDescent="0.25">
      <c r="A32" s="45" t="s">
        <v>56</v>
      </c>
      <c r="B32" s="6"/>
      <c r="C32" s="5"/>
      <c r="D32" s="7"/>
      <c r="E32" s="5"/>
      <c r="F32" s="5"/>
    </row>
    <row r="33" spans="1:6" x14ac:dyDescent="0.25">
      <c r="A33" s="45" t="s">
        <v>57</v>
      </c>
      <c r="B33" s="6"/>
      <c r="C33" s="5"/>
      <c r="D33" s="7"/>
      <c r="E33" s="5"/>
      <c r="F33" s="5"/>
    </row>
    <row r="34" spans="1:6" x14ac:dyDescent="0.25">
      <c r="A34" s="45" t="s">
        <v>58</v>
      </c>
      <c r="B34" s="6"/>
      <c r="C34" s="5"/>
      <c r="D34" s="7"/>
      <c r="E34" s="5"/>
      <c r="F34" s="5"/>
    </row>
    <row r="35" spans="1:6" x14ac:dyDescent="0.25">
      <c r="A35" s="45" t="s">
        <v>59</v>
      </c>
      <c r="B35" s="6"/>
      <c r="C35" s="5"/>
      <c r="D35" s="7"/>
      <c r="E35" s="5"/>
      <c r="F35" s="5"/>
    </row>
    <row r="36" spans="1:6" x14ac:dyDescent="0.25">
      <c r="A36" s="45" t="s">
        <v>66</v>
      </c>
      <c r="B36" s="6"/>
      <c r="C36" s="5"/>
      <c r="D36" s="7"/>
      <c r="E36" s="5"/>
      <c r="F36" s="5"/>
    </row>
    <row r="37" spans="1:6" x14ac:dyDescent="0.25">
      <c r="A37" s="45" t="s">
        <v>67</v>
      </c>
      <c r="B37" s="6"/>
      <c r="C37" s="5"/>
      <c r="D37" s="7"/>
      <c r="E37" s="5"/>
      <c r="F37" s="5"/>
    </row>
    <row r="38" spans="1:6" x14ac:dyDescent="0.25">
      <c r="A38" s="45" t="s">
        <v>81</v>
      </c>
      <c r="B38" s="6"/>
      <c r="C38" s="5"/>
      <c r="D38" s="7"/>
      <c r="E38" s="5"/>
      <c r="F38" s="5"/>
    </row>
    <row r="39" spans="1:6" x14ac:dyDescent="0.25">
      <c r="A39" s="45" t="s">
        <v>79</v>
      </c>
      <c r="B39" s="6"/>
      <c r="C39" s="5"/>
      <c r="D39" s="7"/>
      <c r="E39" s="5"/>
      <c r="F39" s="5"/>
    </row>
    <row r="40" spans="1:6" x14ac:dyDescent="0.25">
      <c r="A40" s="45" t="s">
        <v>80</v>
      </c>
      <c r="B40" s="6"/>
      <c r="C40" s="5"/>
      <c r="D40" s="7"/>
      <c r="E40" s="5"/>
      <c r="F40" s="5"/>
    </row>
    <row r="41" spans="1:6" x14ac:dyDescent="0.25">
      <c r="A41" s="45" t="s">
        <v>68</v>
      </c>
      <c r="B41" s="6"/>
      <c r="C41" s="5"/>
      <c r="D41" s="7"/>
      <c r="E41" s="5"/>
      <c r="F41" s="5"/>
    </row>
    <row r="42" spans="1:6" x14ac:dyDescent="0.25">
      <c r="A42" s="45" t="s">
        <v>69</v>
      </c>
      <c r="B42" s="6"/>
      <c r="C42" s="5"/>
      <c r="D42" s="7"/>
      <c r="E42" s="5"/>
      <c r="F42" s="5"/>
    </row>
    <row r="43" spans="1:6" x14ac:dyDescent="0.25">
      <c r="A43" s="45" t="s">
        <v>70</v>
      </c>
      <c r="B43" s="6"/>
      <c r="C43" s="5"/>
      <c r="D43" s="7"/>
      <c r="E43" s="5"/>
      <c r="F43" s="5"/>
    </row>
    <row r="44" spans="1:6" x14ac:dyDescent="0.25">
      <c r="A44" s="45" t="s">
        <v>71</v>
      </c>
      <c r="B44" s="6"/>
      <c r="C44" s="5"/>
      <c r="D44" s="7"/>
      <c r="E44" s="5"/>
      <c r="F44" s="5"/>
    </row>
    <row r="45" spans="1:6" x14ac:dyDescent="0.25">
      <c r="A45" s="45" t="s">
        <v>72</v>
      </c>
      <c r="B45" s="6"/>
      <c r="C45" s="5"/>
      <c r="D45" s="7"/>
      <c r="E45" s="5"/>
      <c r="F45" s="5"/>
    </row>
    <row r="46" spans="1:6" x14ac:dyDescent="0.25">
      <c r="A46" s="45" t="s">
        <v>73</v>
      </c>
      <c r="B46" s="6"/>
      <c r="C46" s="5"/>
      <c r="D46" s="7"/>
      <c r="E46" s="5"/>
      <c r="F46" s="5"/>
    </row>
    <row r="47" spans="1:6" x14ac:dyDescent="0.25">
      <c r="A47" s="45" t="s">
        <v>74</v>
      </c>
      <c r="B47" s="6"/>
      <c r="C47" s="5"/>
      <c r="D47" s="7"/>
      <c r="E47" s="5"/>
      <c r="F47" s="5"/>
    </row>
    <row r="48" spans="1:6" x14ac:dyDescent="0.25">
      <c r="A48" s="45" t="s">
        <v>75</v>
      </c>
      <c r="B48" s="6"/>
      <c r="C48" s="5"/>
      <c r="D48" s="7"/>
      <c r="E48" s="5"/>
      <c r="F48" s="5"/>
    </row>
    <row r="49" spans="1:9" x14ac:dyDescent="0.25">
      <c r="A49" s="45" t="s">
        <v>76</v>
      </c>
      <c r="B49" s="6"/>
      <c r="C49" s="5"/>
      <c r="D49" s="7"/>
      <c r="E49" s="5"/>
      <c r="F49" s="5"/>
    </row>
    <row r="50" spans="1:9" x14ac:dyDescent="0.25">
      <c r="A50" s="45" t="s">
        <v>77</v>
      </c>
      <c r="B50" s="6"/>
      <c r="C50" s="5"/>
      <c r="D50" s="7"/>
      <c r="E50" s="5"/>
      <c r="F50" s="5"/>
    </row>
    <row r="51" spans="1:9" x14ac:dyDescent="0.25">
      <c r="A51" s="45" t="s">
        <v>78</v>
      </c>
      <c r="B51" s="6"/>
      <c r="C51" s="5"/>
      <c r="D51" s="7"/>
      <c r="E51" s="5"/>
      <c r="F51" s="5"/>
    </row>
    <row r="52" spans="1:9" x14ac:dyDescent="0.25">
      <c r="A52" s="54" t="s">
        <v>42</v>
      </c>
      <c r="B52" s="55">
        <v>46042</v>
      </c>
      <c r="C52" s="54">
        <v>1</v>
      </c>
      <c r="D52" s="56">
        <v>1</v>
      </c>
      <c r="E52" s="54"/>
      <c r="F52" s="54"/>
      <c r="G52" s="57"/>
      <c r="H52" s="57">
        <f>SUM(G52:G67)</f>
        <v>8</v>
      </c>
      <c r="I52" s="58">
        <v>1</v>
      </c>
    </row>
    <row r="53" spans="1:9" x14ac:dyDescent="0.25">
      <c r="A53" s="54" t="s">
        <v>79</v>
      </c>
      <c r="B53" s="55">
        <v>46042</v>
      </c>
      <c r="C53" s="54">
        <v>1</v>
      </c>
      <c r="D53" s="56">
        <v>1</v>
      </c>
      <c r="E53" s="54"/>
      <c r="F53" s="54"/>
      <c r="G53" s="57">
        <v>1</v>
      </c>
      <c r="H53" s="57"/>
      <c r="I53" s="58">
        <f>I52+1</f>
        <v>2</v>
      </c>
    </row>
    <row r="54" spans="1:9" x14ac:dyDescent="0.25">
      <c r="A54" s="54" t="s">
        <v>65</v>
      </c>
      <c r="B54" s="55">
        <v>46042</v>
      </c>
      <c r="C54" s="54">
        <v>1</v>
      </c>
      <c r="D54" s="56">
        <v>1</v>
      </c>
      <c r="E54" s="54"/>
      <c r="F54" s="54"/>
      <c r="G54" s="57"/>
      <c r="H54" s="57"/>
      <c r="I54" s="58">
        <f t="shared" ref="I54:I67" si="0">I53+1</f>
        <v>3</v>
      </c>
    </row>
    <row r="55" spans="1:9" x14ac:dyDescent="0.25">
      <c r="A55" s="54" t="s">
        <v>37</v>
      </c>
      <c r="B55" s="55">
        <v>46042</v>
      </c>
      <c r="C55" s="54">
        <v>1</v>
      </c>
      <c r="D55" s="56">
        <v>1</v>
      </c>
      <c r="E55" s="54"/>
      <c r="F55" s="54"/>
      <c r="G55" s="57">
        <v>1</v>
      </c>
      <c r="H55" s="57"/>
      <c r="I55" s="58">
        <f t="shared" si="0"/>
        <v>4</v>
      </c>
    </row>
    <row r="56" spans="1:9" x14ac:dyDescent="0.25">
      <c r="A56" s="54" t="s">
        <v>38</v>
      </c>
      <c r="B56" s="55">
        <v>46042</v>
      </c>
      <c r="C56" s="54">
        <v>1</v>
      </c>
      <c r="D56" s="56">
        <v>1</v>
      </c>
      <c r="E56" s="54"/>
      <c r="F56" s="54"/>
      <c r="G56" s="57"/>
      <c r="H56" s="57"/>
      <c r="I56" s="58">
        <f t="shared" si="0"/>
        <v>5</v>
      </c>
    </row>
    <row r="57" spans="1:9" x14ac:dyDescent="0.25">
      <c r="A57" s="54" t="s">
        <v>40</v>
      </c>
      <c r="B57" s="55">
        <v>46042</v>
      </c>
      <c r="C57" s="54">
        <v>1</v>
      </c>
      <c r="D57" s="56">
        <v>1</v>
      </c>
      <c r="E57" s="54"/>
      <c r="F57" s="54"/>
      <c r="G57" s="57">
        <v>2</v>
      </c>
      <c r="H57" s="57"/>
      <c r="I57" s="58">
        <f t="shared" si="0"/>
        <v>6</v>
      </c>
    </row>
    <row r="58" spans="1:9" x14ac:dyDescent="0.25">
      <c r="A58" s="54" t="s">
        <v>41</v>
      </c>
      <c r="B58" s="55">
        <v>46042</v>
      </c>
      <c r="C58" s="54">
        <v>1</v>
      </c>
      <c r="D58" s="56">
        <v>1</v>
      </c>
      <c r="E58" s="54"/>
      <c r="F58" s="54"/>
      <c r="G58" s="57"/>
      <c r="H58" s="57"/>
      <c r="I58" s="58">
        <f t="shared" si="0"/>
        <v>7</v>
      </c>
    </row>
    <row r="59" spans="1:9" x14ac:dyDescent="0.25">
      <c r="A59" s="54" t="s">
        <v>55</v>
      </c>
      <c r="B59" s="55">
        <v>46042</v>
      </c>
      <c r="C59" s="54">
        <v>1</v>
      </c>
      <c r="D59" s="56">
        <v>1</v>
      </c>
      <c r="E59" s="54"/>
      <c r="F59" s="54"/>
      <c r="G59" s="57">
        <v>1</v>
      </c>
      <c r="H59" s="57"/>
      <c r="I59" s="58">
        <f t="shared" si="0"/>
        <v>8</v>
      </c>
    </row>
    <row r="60" spans="1:9" x14ac:dyDescent="0.25">
      <c r="A60" s="54" t="s">
        <v>46</v>
      </c>
      <c r="B60" s="55">
        <v>46042</v>
      </c>
      <c r="C60" s="54">
        <v>1</v>
      </c>
      <c r="D60" s="56"/>
      <c r="E60" s="54"/>
      <c r="F60" s="54">
        <v>1</v>
      </c>
      <c r="G60" s="57"/>
      <c r="H60" s="57"/>
      <c r="I60" s="58">
        <f t="shared" si="0"/>
        <v>9</v>
      </c>
    </row>
    <row r="61" spans="1:9" x14ac:dyDescent="0.25">
      <c r="A61" s="54" t="s">
        <v>43</v>
      </c>
      <c r="B61" s="55">
        <v>46042</v>
      </c>
      <c r="C61" s="54">
        <v>1</v>
      </c>
      <c r="D61" s="56"/>
      <c r="E61" s="54"/>
      <c r="F61" s="54">
        <v>1</v>
      </c>
      <c r="G61" s="57"/>
      <c r="H61" s="57"/>
      <c r="I61" s="58">
        <f t="shared" si="0"/>
        <v>10</v>
      </c>
    </row>
    <row r="62" spans="1:9" x14ac:dyDescent="0.25">
      <c r="A62" s="54" t="s">
        <v>64</v>
      </c>
      <c r="B62" s="55">
        <v>46042</v>
      </c>
      <c r="C62" s="54">
        <v>1</v>
      </c>
      <c r="D62" s="56"/>
      <c r="E62" s="54"/>
      <c r="F62" s="54">
        <v>1</v>
      </c>
      <c r="G62" s="57"/>
      <c r="H62" s="57"/>
      <c r="I62" s="58">
        <f t="shared" si="0"/>
        <v>11</v>
      </c>
    </row>
    <row r="63" spans="1:9" x14ac:dyDescent="0.25">
      <c r="A63" s="54" t="s">
        <v>48</v>
      </c>
      <c r="B63" s="55">
        <v>46042</v>
      </c>
      <c r="C63" s="54">
        <v>1</v>
      </c>
      <c r="D63" s="56"/>
      <c r="E63" s="54"/>
      <c r="F63" s="54">
        <v>1</v>
      </c>
      <c r="G63" s="57"/>
      <c r="H63" s="57"/>
      <c r="I63" s="58">
        <f t="shared" si="0"/>
        <v>12</v>
      </c>
    </row>
    <row r="64" spans="1:9" x14ac:dyDescent="0.25">
      <c r="A64" s="54" t="s">
        <v>50</v>
      </c>
      <c r="B64" s="55">
        <v>46042</v>
      </c>
      <c r="C64" s="54">
        <v>1</v>
      </c>
      <c r="D64" s="56"/>
      <c r="E64" s="54"/>
      <c r="F64" s="54">
        <v>1</v>
      </c>
      <c r="G64" s="57"/>
      <c r="H64" s="57"/>
      <c r="I64" s="58">
        <f t="shared" si="0"/>
        <v>13</v>
      </c>
    </row>
    <row r="65" spans="1:9" x14ac:dyDescent="0.25">
      <c r="A65" s="54" t="s">
        <v>51</v>
      </c>
      <c r="B65" s="55">
        <v>46042</v>
      </c>
      <c r="C65" s="54">
        <v>1</v>
      </c>
      <c r="D65" s="56"/>
      <c r="E65" s="54"/>
      <c r="F65" s="54">
        <v>1</v>
      </c>
      <c r="G65" s="57"/>
      <c r="H65" s="57"/>
      <c r="I65" s="58">
        <f t="shared" si="0"/>
        <v>14</v>
      </c>
    </row>
    <row r="66" spans="1:9" x14ac:dyDescent="0.25">
      <c r="A66" s="54" t="s">
        <v>61</v>
      </c>
      <c r="B66" s="55">
        <v>46042</v>
      </c>
      <c r="C66" s="54">
        <v>1</v>
      </c>
      <c r="D66" s="56"/>
      <c r="E66" s="54"/>
      <c r="F66" s="54">
        <v>1</v>
      </c>
      <c r="G66" s="57">
        <v>1</v>
      </c>
      <c r="H66" s="57"/>
      <c r="I66" s="58">
        <f t="shared" si="0"/>
        <v>15</v>
      </c>
    </row>
    <row r="67" spans="1:9" x14ac:dyDescent="0.25">
      <c r="A67" s="54" t="s">
        <v>66</v>
      </c>
      <c r="B67" s="55">
        <v>46042</v>
      </c>
      <c r="C67" s="54">
        <v>1</v>
      </c>
      <c r="D67" s="56"/>
      <c r="E67" s="54"/>
      <c r="F67" s="54">
        <v>1</v>
      </c>
      <c r="G67" s="57">
        <v>2</v>
      </c>
      <c r="H67" s="57"/>
      <c r="I67" s="58">
        <f t="shared" si="0"/>
        <v>16</v>
      </c>
    </row>
    <row r="68" spans="1:9" x14ac:dyDescent="0.25">
      <c r="A68" s="45" t="s">
        <v>32</v>
      </c>
      <c r="B68" s="59">
        <v>46042</v>
      </c>
      <c r="C68" s="45">
        <v>1</v>
      </c>
      <c r="D68" s="60">
        <v>1</v>
      </c>
      <c r="E68" s="45"/>
      <c r="F68" s="45"/>
      <c r="G68" s="61"/>
      <c r="H68" s="61">
        <f>SUM(G68:G83)</f>
        <v>6</v>
      </c>
      <c r="I68" s="62">
        <v>1</v>
      </c>
    </row>
    <row r="69" spans="1:9" x14ac:dyDescent="0.25">
      <c r="A69" s="45" t="s">
        <v>79</v>
      </c>
      <c r="B69" s="59">
        <v>46042</v>
      </c>
      <c r="C69" s="45">
        <v>1</v>
      </c>
      <c r="D69" s="60">
        <v>1</v>
      </c>
      <c r="E69" s="45"/>
      <c r="F69" s="45"/>
      <c r="G69" s="61"/>
      <c r="H69" s="61"/>
      <c r="I69" s="62">
        <f>I68+1</f>
        <v>2</v>
      </c>
    </row>
    <row r="70" spans="1:9" x14ac:dyDescent="0.25">
      <c r="A70" s="45" t="s">
        <v>65</v>
      </c>
      <c r="B70" s="59">
        <v>46042</v>
      </c>
      <c r="C70" s="45">
        <v>1</v>
      </c>
      <c r="D70" s="60">
        <v>1</v>
      </c>
      <c r="E70" s="45"/>
      <c r="F70" s="45"/>
      <c r="G70" s="61">
        <v>1</v>
      </c>
      <c r="H70" s="61"/>
      <c r="I70" s="62">
        <f t="shared" ref="I70:I83" si="1">I69+1</f>
        <v>3</v>
      </c>
    </row>
    <row r="71" spans="1:9" x14ac:dyDescent="0.25">
      <c r="A71" s="45" t="s">
        <v>40</v>
      </c>
      <c r="B71" s="59">
        <v>46042</v>
      </c>
      <c r="C71" s="45">
        <v>1</v>
      </c>
      <c r="D71" s="60">
        <v>1</v>
      </c>
      <c r="E71" s="45"/>
      <c r="F71" s="45"/>
      <c r="G71" s="61">
        <v>1</v>
      </c>
      <c r="H71" s="61"/>
      <c r="I71" s="62">
        <f t="shared" si="1"/>
        <v>4</v>
      </c>
    </row>
    <row r="72" spans="1:9" x14ac:dyDescent="0.25">
      <c r="A72" s="45" t="s">
        <v>43</v>
      </c>
      <c r="B72" s="59">
        <v>46042</v>
      </c>
      <c r="C72" s="45">
        <v>1</v>
      </c>
      <c r="D72" s="60">
        <v>1</v>
      </c>
      <c r="E72" s="45"/>
      <c r="F72" s="45"/>
      <c r="G72" s="61">
        <v>1</v>
      </c>
      <c r="H72" s="61"/>
      <c r="I72" s="62">
        <f t="shared" si="1"/>
        <v>5</v>
      </c>
    </row>
    <row r="73" spans="1:9" x14ac:dyDescent="0.25">
      <c r="A73" s="45" t="s">
        <v>44</v>
      </c>
      <c r="B73" s="59">
        <v>46042</v>
      </c>
      <c r="C73" s="45">
        <v>1</v>
      </c>
      <c r="D73" s="60">
        <v>1</v>
      </c>
      <c r="E73" s="45"/>
      <c r="F73" s="45"/>
      <c r="G73" s="61"/>
      <c r="H73" s="61"/>
      <c r="I73" s="62">
        <f t="shared" si="1"/>
        <v>6</v>
      </c>
    </row>
    <row r="74" spans="1:9" x14ac:dyDescent="0.25">
      <c r="A74" s="45" t="s">
        <v>50</v>
      </c>
      <c r="B74" s="59">
        <v>46042</v>
      </c>
      <c r="C74" s="45">
        <v>1</v>
      </c>
      <c r="D74" s="60">
        <v>1</v>
      </c>
      <c r="E74" s="45"/>
      <c r="F74" s="45"/>
      <c r="G74" s="61"/>
      <c r="H74" s="61"/>
      <c r="I74" s="62">
        <f t="shared" si="1"/>
        <v>7</v>
      </c>
    </row>
    <row r="75" spans="1:9" x14ac:dyDescent="0.25">
      <c r="A75" s="45" t="s">
        <v>80</v>
      </c>
      <c r="B75" s="59">
        <v>46042</v>
      </c>
      <c r="C75" s="45">
        <v>1</v>
      </c>
      <c r="D75" s="60">
        <v>1</v>
      </c>
      <c r="E75" s="45"/>
      <c r="F75" s="45"/>
      <c r="G75" s="61">
        <v>1</v>
      </c>
      <c r="H75" s="61"/>
      <c r="I75" s="62">
        <f t="shared" si="1"/>
        <v>8</v>
      </c>
    </row>
    <row r="76" spans="1:9" x14ac:dyDescent="0.25">
      <c r="A76" s="45" t="s">
        <v>38</v>
      </c>
      <c r="B76" s="59">
        <v>46042</v>
      </c>
      <c r="C76" s="45">
        <v>1</v>
      </c>
      <c r="D76" s="60"/>
      <c r="E76" s="45"/>
      <c r="F76" s="45">
        <v>1</v>
      </c>
      <c r="G76" s="61"/>
      <c r="H76" s="61"/>
      <c r="I76" s="62">
        <f t="shared" si="1"/>
        <v>9</v>
      </c>
    </row>
    <row r="77" spans="1:9" x14ac:dyDescent="0.25">
      <c r="A77" s="45" t="s">
        <v>41</v>
      </c>
      <c r="B77" s="59">
        <v>46042</v>
      </c>
      <c r="C77" s="45">
        <v>1</v>
      </c>
      <c r="D77" s="60"/>
      <c r="E77" s="45"/>
      <c r="F77" s="45">
        <v>1</v>
      </c>
      <c r="G77" s="61"/>
      <c r="H77" s="61"/>
      <c r="I77" s="62">
        <f t="shared" si="1"/>
        <v>10</v>
      </c>
    </row>
    <row r="78" spans="1:9" x14ac:dyDescent="0.25">
      <c r="A78" s="45" t="s">
        <v>64</v>
      </c>
      <c r="B78" s="59">
        <v>46042</v>
      </c>
      <c r="C78" s="45">
        <v>1</v>
      </c>
      <c r="D78" s="60"/>
      <c r="E78" s="45"/>
      <c r="F78" s="45">
        <v>1</v>
      </c>
      <c r="G78" s="61"/>
      <c r="H78" s="61"/>
      <c r="I78" s="62">
        <f t="shared" si="1"/>
        <v>11</v>
      </c>
    </row>
    <row r="79" spans="1:9" x14ac:dyDescent="0.25">
      <c r="A79" s="45" t="s">
        <v>48</v>
      </c>
      <c r="B79" s="59">
        <v>46042</v>
      </c>
      <c r="C79" s="45">
        <v>1</v>
      </c>
      <c r="D79" s="60"/>
      <c r="E79" s="45"/>
      <c r="F79" s="45">
        <v>1</v>
      </c>
      <c r="G79" s="61"/>
      <c r="H79" s="61"/>
      <c r="I79" s="62">
        <f t="shared" si="1"/>
        <v>12</v>
      </c>
    </row>
    <row r="80" spans="1:9" x14ac:dyDescent="0.25">
      <c r="A80" s="45" t="s">
        <v>51</v>
      </c>
      <c r="B80" s="59">
        <v>46042</v>
      </c>
      <c r="C80" s="45">
        <v>1</v>
      </c>
      <c r="D80" s="60"/>
      <c r="E80" s="45"/>
      <c r="F80" s="45">
        <v>1</v>
      </c>
      <c r="G80" s="61"/>
      <c r="H80" s="61"/>
      <c r="I80" s="62">
        <f t="shared" si="1"/>
        <v>13</v>
      </c>
    </row>
    <row r="81" spans="1:9" x14ac:dyDescent="0.25">
      <c r="A81" s="45" t="s">
        <v>58</v>
      </c>
      <c r="B81" s="59">
        <v>46042</v>
      </c>
      <c r="C81" s="45">
        <v>1</v>
      </c>
      <c r="D81" s="60"/>
      <c r="E81" s="45"/>
      <c r="F81" s="45">
        <v>1</v>
      </c>
      <c r="G81" s="61">
        <v>1</v>
      </c>
      <c r="H81" s="61"/>
      <c r="I81" s="62">
        <f t="shared" si="1"/>
        <v>14</v>
      </c>
    </row>
    <row r="82" spans="1:9" x14ac:dyDescent="0.25">
      <c r="A82" s="45" t="s">
        <v>67</v>
      </c>
      <c r="B82" s="59">
        <v>46042</v>
      </c>
      <c r="C82" s="45">
        <v>1</v>
      </c>
      <c r="D82" s="60"/>
      <c r="E82" s="45"/>
      <c r="F82" s="45">
        <v>1</v>
      </c>
      <c r="G82" s="61">
        <v>1</v>
      </c>
      <c r="H82" s="61"/>
      <c r="I82" s="62">
        <f t="shared" si="1"/>
        <v>15</v>
      </c>
    </row>
    <row r="83" spans="1:9" x14ac:dyDescent="0.25">
      <c r="A83" s="45" t="s">
        <v>81</v>
      </c>
      <c r="B83" s="59">
        <v>46042</v>
      </c>
      <c r="C83" s="45">
        <v>1</v>
      </c>
      <c r="D83" s="60"/>
      <c r="E83" s="45"/>
      <c r="F83" s="45">
        <v>1</v>
      </c>
      <c r="G83" s="61"/>
      <c r="H83" s="61"/>
      <c r="I83" s="62">
        <f t="shared" si="1"/>
        <v>16</v>
      </c>
    </row>
    <row r="84" spans="1:9" x14ac:dyDescent="0.25">
      <c r="A84" s="54" t="s">
        <v>33</v>
      </c>
      <c r="B84" s="55">
        <v>46042</v>
      </c>
      <c r="C84" s="54">
        <v>1</v>
      </c>
      <c r="D84" s="56">
        <v>1</v>
      </c>
      <c r="E84" s="54"/>
      <c r="F84" s="54"/>
      <c r="G84" s="57">
        <v>1</v>
      </c>
      <c r="H84" s="57">
        <f>SUM(G84:G99)</f>
        <v>9</v>
      </c>
      <c r="I84" s="58">
        <v>1</v>
      </c>
    </row>
    <row r="85" spans="1:9" x14ac:dyDescent="0.25">
      <c r="A85" s="54" t="s">
        <v>38</v>
      </c>
      <c r="B85" s="55">
        <v>46042</v>
      </c>
      <c r="C85" s="54">
        <v>1</v>
      </c>
      <c r="D85" s="56">
        <v>1</v>
      </c>
      <c r="E85" s="54"/>
      <c r="F85" s="54"/>
      <c r="G85" s="57"/>
      <c r="H85" s="57"/>
      <c r="I85" s="58">
        <f>I84+1</f>
        <v>2</v>
      </c>
    </row>
    <row r="86" spans="1:9" x14ac:dyDescent="0.25">
      <c r="A86" s="54" t="s">
        <v>40</v>
      </c>
      <c r="B86" s="55">
        <v>46042</v>
      </c>
      <c r="C86" s="54">
        <v>1</v>
      </c>
      <c r="D86" s="56">
        <v>1</v>
      </c>
      <c r="E86" s="54"/>
      <c r="F86" s="54"/>
      <c r="G86" s="57">
        <v>2</v>
      </c>
      <c r="H86" s="57"/>
      <c r="I86" s="58">
        <f t="shared" ref="I86:I99" si="2">I85+1</f>
        <v>3</v>
      </c>
    </row>
    <row r="87" spans="1:9" x14ac:dyDescent="0.25">
      <c r="A87" s="54" t="s">
        <v>41</v>
      </c>
      <c r="B87" s="55">
        <v>46042</v>
      </c>
      <c r="C87" s="54">
        <v>1</v>
      </c>
      <c r="D87" s="56">
        <v>1</v>
      </c>
      <c r="E87" s="54"/>
      <c r="F87" s="54"/>
      <c r="G87" s="57">
        <v>1</v>
      </c>
      <c r="H87" s="57"/>
      <c r="I87" s="58">
        <f t="shared" si="2"/>
        <v>4</v>
      </c>
    </row>
    <row r="88" spans="1:9" x14ac:dyDescent="0.25">
      <c r="A88" s="54" t="s">
        <v>44</v>
      </c>
      <c r="B88" s="55">
        <v>46042</v>
      </c>
      <c r="C88" s="54">
        <v>1</v>
      </c>
      <c r="D88" s="56">
        <v>1</v>
      </c>
      <c r="E88" s="54"/>
      <c r="F88" s="54"/>
      <c r="G88" s="57"/>
      <c r="H88" s="57"/>
      <c r="I88" s="58">
        <f t="shared" si="2"/>
        <v>5</v>
      </c>
    </row>
    <row r="89" spans="1:9" x14ac:dyDescent="0.25">
      <c r="A89" s="54" t="s">
        <v>64</v>
      </c>
      <c r="B89" s="55">
        <v>46042</v>
      </c>
      <c r="C89" s="54">
        <v>1</v>
      </c>
      <c r="D89" s="56">
        <v>1</v>
      </c>
      <c r="E89" s="54"/>
      <c r="F89" s="54"/>
      <c r="G89" s="57"/>
      <c r="H89" s="57"/>
      <c r="I89" s="58">
        <f t="shared" si="2"/>
        <v>6</v>
      </c>
    </row>
    <row r="90" spans="1:9" x14ac:dyDescent="0.25">
      <c r="A90" s="54" t="s">
        <v>50</v>
      </c>
      <c r="B90" s="55">
        <v>46042</v>
      </c>
      <c r="C90" s="54">
        <v>1</v>
      </c>
      <c r="D90" s="56">
        <v>1</v>
      </c>
      <c r="E90" s="54"/>
      <c r="F90" s="54"/>
      <c r="G90" s="57"/>
      <c r="H90" s="57"/>
      <c r="I90" s="58">
        <f t="shared" si="2"/>
        <v>7</v>
      </c>
    </row>
    <row r="91" spans="1:9" x14ac:dyDescent="0.25">
      <c r="A91" s="54" t="s">
        <v>58</v>
      </c>
      <c r="B91" s="55">
        <v>46042</v>
      </c>
      <c r="C91" s="54">
        <v>1</v>
      </c>
      <c r="D91" s="56">
        <v>1</v>
      </c>
      <c r="E91" s="54"/>
      <c r="F91" s="54"/>
      <c r="G91" s="57">
        <v>1</v>
      </c>
      <c r="H91" s="57"/>
      <c r="I91" s="58">
        <f t="shared" si="2"/>
        <v>8</v>
      </c>
    </row>
    <row r="92" spans="1:9" x14ac:dyDescent="0.25">
      <c r="A92" s="54" t="s">
        <v>32</v>
      </c>
      <c r="B92" s="55">
        <v>46042</v>
      </c>
      <c r="C92" s="54">
        <v>1</v>
      </c>
      <c r="D92" s="56"/>
      <c r="E92" s="54"/>
      <c r="F92" s="54">
        <v>1</v>
      </c>
      <c r="G92" s="57"/>
      <c r="H92" s="57"/>
      <c r="I92" s="58">
        <f t="shared" si="2"/>
        <v>9</v>
      </c>
    </row>
    <row r="93" spans="1:9" x14ac:dyDescent="0.25">
      <c r="A93" s="54" t="s">
        <v>79</v>
      </c>
      <c r="B93" s="55">
        <v>46042</v>
      </c>
      <c r="C93" s="54">
        <v>1</v>
      </c>
      <c r="D93" s="56"/>
      <c r="E93" s="54"/>
      <c r="F93" s="54">
        <v>1</v>
      </c>
      <c r="G93" s="57"/>
      <c r="H93" s="57"/>
      <c r="I93" s="58">
        <f t="shared" si="2"/>
        <v>10</v>
      </c>
    </row>
    <row r="94" spans="1:9" x14ac:dyDescent="0.25">
      <c r="A94" s="54" t="s">
        <v>65</v>
      </c>
      <c r="B94" s="55">
        <v>46042</v>
      </c>
      <c r="C94" s="54">
        <v>1</v>
      </c>
      <c r="D94" s="56"/>
      <c r="E94" s="54"/>
      <c r="F94" s="54">
        <v>1</v>
      </c>
      <c r="G94" s="57">
        <v>1</v>
      </c>
      <c r="H94" s="57"/>
      <c r="I94" s="58">
        <f t="shared" si="2"/>
        <v>11</v>
      </c>
    </row>
    <row r="95" spans="1:9" x14ac:dyDescent="0.25">
      <c r="A95" s="54" t="s">
        <v>37</v>
      </c>
      <c r="B95" s="55">
        <v>46042</v>
      </c>
      <c r="C95" s="54">
        <v>1</v>
      </c>
      <c r="D95" s="56"/>
      <c r="E95" s="54"/>
      <c r="F95" s="54">
        <v>1</v>
      </c>
      <c r="G95" s="57"/>
      <c r="H95" s="57"/>
      <c r="I95" s="58">
        <f t="shared" si="2"/>
        <v>12</v>
      </c>
    </row>
    <row r="96" spans="1:9" x14ac:dyDescent="0.25">
      <c r="A96" s="54" t="s">
        <v>43</v>
      </c>
      <c r="B96" s="55">
        <v>46042</v>
      </c>
      <c r="C96" s="54">
        <v>1</v>
      </c>
      <c r="D96" s="56"/>
      <c r="E96" s="54"/>
      <c r="F96" s="54">
        <v>1</v>
      </c>
      <c r="G96" s="57">
        <v>1</v>
      </c>
      <c r="H96" s="57"/>
      <c r="I96" s="58">
        <f t="shared" si="2"/>
        <v>13</v>
      </c>
    </row>
    <row r="97" spans="1:9" x14ac:dyDescent="0.25">
      <c r="A97" s="54" t="s">
        <v>51</v>
      </c>
      <c r="B97" s="55">
        <v>46042</v>
      </c>
      <c r="C97" s="54">
        <v>1</v>
      </c>
      <c r="D97" s="56"/>
      <c r="E97" s="54"/>
      <c r="F97" s="54">
        <v>1</v>
      </c>
      <c r="G97" s="57"/>
      <c r="H97" s="57"/>
      <c r="I97" s="58">
        <f t="shared" si="2"/>
        <v>14</v>
      </c>
    </row>
    <row r="98" spans="1:9" x14ac:dyDescent="0.25">
      <c r="A98" s="54" t="s">
        <v>61</v>
      </c>
      <c r="B98" s="55">
        <v>46042</v>
      </c>
      <c r="C98" s="54">
        <v>1</v>
      </c>
      <c r="D98" s="56"/>
      <c r="E98" s="54"/>
      <c r="F98" s="54">
        <v>1</v>
      </c>
      <c r="G98" s="57">
        <v>1</v>
      </c>
      <c r="H98" s="57"/>
      <c r="I98" s="58">
        <f t="shared" si="2"/>
        <v>15</v>
      </c>
    </row>
    <row r="99" spans="1:9" x14ac:dyDescent="0.25">
      <c r="A99" s="54" t="s">
        <v>66</v>
      </c>
      <c r="B99" s="55">
        <v>46042</v>
      </c>
      <c r="C99" s="54">
        <v>1</v>
      </c>
      <c r="D99" s="56"/>
      <c r="E99" s="54"/>
      <c r="F99" s="54">
        <v>1</v>
      </c>
      <c r="G99" s="57">
        <v>1</v>
      </c>
      <c r="H99" s="57"/>
      <c r="I99" s="58">
        <f t="shared" si="2"/>
        <v>16</v>
      </c>
    </row>
  </sheetData>
  <autoFilter ref="G1:H2" xr:uid="{00000000-0001-0000-0000-000000000000}"/>
  <sortState xmlns:xlrd2="http://schemas.microsoft.com/office/spreadsheetml/2017/richdata2" ref="A84:A91">
    <sortCondition ref="A84:A91"/>
  </sortState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984172-BE8C-4ED7-9913-A479D8CF9197}">
  <dimension ref="A1:K55"/>
  <sheetViews>
    <sheetView topLeftCell="A2" workbookViewId="0">
      <selection activeCell="D19" sqref="D19"/>
    </sheetView>
  </sheetViews>
  <sheetFormatPr defaultRowHeight="15" x14ac:dyDescent="0.25"/>
  <cols>
    <col min="1" max="1" width="18.28515625" bestFit="1" customWidth="1"/>
    <col min="2" max="2" width="11.5703125" bestFit="1" customWidth="1"/>
    <col min="3" max="3" width="11.42578125" bestFit="1" customWidth="1"/>
    <col min="4" max="4" width="11.28515625" bestFit="1" customWidth="1"/>
    <col min="5" max="5" width="11.140625" bestFit="1" customWidth="1"/>
    <col min="6" max="6" width="12.5703125" bestFit="1" customWidth="1"/>
    <col min="7" max="7" width="9.7109375" bestFit="1" customWidth="1"/>
    <col min="11" max="11" width="16.5703125" customWidth="1"/>
  </cols>
  <sheetData>
    <row r="1" spans="1:11" x14ac:dyDescent="0.25">
      <c r="A1" s="8" t="s">
        <v>10</v>
      </c>
      <c r="B1" s="9">
        <f>SUM(C55:E55)</f>
        <v>48</v>
      </c>
      <c r="C1" s="9"/>
      <c r="D1" s="10"/>
      <c r="E1" s="9" t="str">
        <f>IF(GETPIVOTDATA("Somma di G",$A$3)=B1,"",1)</f>
        <v/>
      </c>
      <c r="F1" s="9"/>
      <c r="G1" s="13">
        <v>1</v>
      </c>
      <c r="H1" s="13">
        <v>3</v>
      </c>
      <c r="I1" s="13">
        <v>1</v>
      </c>
      <c r="J1" s="13">
        <v>0</v>
      </c>
      <c r="K1" s="15" t="str">
        <f>IF((G55+H55+I55+J55)=K55,"",1)</f>
        <v/>
      </c>
    </row>
    <row r="2" spans="1:11" x14ac:dyDescent="0.25">
      <c r="G2" s="11"/>
      <c r="H2" s="11"/>
      <c r="I2" s="11"/>
      <c r="J2" s="11"/>
      <c r="K2" s="11"/>
    </row>
    <row r="3" spans="1:11" x14ac:dyDescent="0.25">
      <c r="A3" s="3" t="s">
        <v>4</v>
      </c>
      <c r="B3" t="s">
        <v>8</v>
      </c>
      <c r="C3" t="s">
        <v>6</v>
      </c>
      <c r="D3" t="s">
        <v>28</v>
      </c>
      <c r="E3" t="s">
        <v>9</v>
      </c>
      <c r="F3" t="s">
        <v>29</v>
      </c>
      <c r="G3" s="13" t="s">
        <v>13</v>
      </c>
      <c r="H3" s="13" t="s">
        <v>1</v>
      </c>
      <c r="I3" s="13" t="s">
        <v>2</v>
      </c>
      <c r="J3" s="13" t="s">
        <v>3</v>
      </c>
      <c r="K3" s="13" t="s">
        <v>12</v>
      </c>
    </row>
    <row r="4" spans="1:11" x14ac:dyDescent="0.25">
      <c r="A4" s="4" t="s">
        <v>32</v>
      </c>
      <c r="B4" s="63">
        <v>2</v>
      </c>
      <c r="C4" s="63">
        <v>1</v>
      </c>
      <c r="D4" s="63"/>
      <c r="E4" s="63">
        <v>1</v>
      </c>
      <c r="F4" s="63"/>
      <c r="G4" s="11">
        <f>B4*$G$1</f>
        <v>2</v>
      </c>
      <c r="H4" s="11">
        <f>C4*$H$1</f>
        <v>3</v>
      </c>
      <c r="I4" s="11">
        <f>D4*$I$1</f>
        <v>0</v>
      </c>
      <c r="J4" s="11">
        <f>E4*$J$1</f>
        <v>0</v>
      </c>
      <c r="K4" s="12">
        <f t="shared" ref="K4" si="0">SUM(G4:J4)</f>
        <v>5</v>
      </c>
    </row>
    <row r="5" spans="1:11" x14ac:dyDescent="0.25">
      <c r="A5" s="4" t="s">
        <v>63</v>
      </c>
      <c r="B5" s="63"/>
      <c r="C5" s="63"/>
      <c r="D5" s="63"/>
      <c r="E5" s="63"/>
      <c r="F5" s="63"/>
      <c r="G5" s="11">
        <f t="shared" ref="G5:G43" si="1">B5*$G$1</f>
        <v>0</v>
      </c>
      <c r="H5" s="11">
        <f t="shared" ref="H5:H43" si="2">C5*$H$1</f>
        <v>0</v>
      </c>
      <c r="I5" s="11">
        <f t="shared" ref="I5:I43" si="3">D5*$I$1</f>
        <v>0</v>
      </c>
      <c r="J5" s="11">
        <f t="shared" ref="J5:J43" si="4">E5*$J$1</f>
        <v>0</v>
      </c>
      <c r="K5" s="12">
        <f t="shared" ref="K5:K43" si="5">SUM(G5:J5)</f>
        <v>0</v>
      </c>
    </row>
    <row r="6" spans="1:11" x14ac:dyDescent="0.25">
      <c r="A6" s="4" t="s">
        <v>79</v>
      </c>
      <c r="B6" s="63">
        <v>3</v>
      </c>
      <c r="C6" s="63">
        <v>2</v>
      </c>
      <c r="D6" s="63"/>
      <c r="E6" s="63">
        <v>1</v>
      </c>
      <c r="F6" s="63">
        <v>1</v>
      </c>
      <c r="G6" s="11">
        <f t="shared" si="1"/>
        <v>3</v>
      </c>
      <c r="H6" s="11">
        <f t="shared" si="2"/>
        <v>6</v>
      </c>
      <c r="I6" s="11">
        <f t="shared" si="3"/>
        <v>0</v>
      </c>
      <c r="J6" s="11">
        <f t="shared" si="4"/>
        <v>0</v>
      </c>
      <c r="K6" s="12">
        <f t="shared" si="5"/>
        <v>9</v>
      </c>
    </row>
    <row r="7" spans="1:11" x14ac:dyDescent="0.25">
      <c r="A7" s="4" t="s">
        <v>65</v>
      </c>
      <c r="B7" s="63">
        <v>3</v>
      </c>
      <c r="C7" s="63">
        <v>2</v>
      </c>
      <c r="D7" s="63"/>
      <c r="E7" s="63">
        <v>1</v>
      </c>
      <c r="F7" s="63">
        <v>2</v>
      </c>
      <c r="G7" s="11">
        <f t="shared" si="1"/>
        <v>3</v>
      </c>
      <c r="H7" s="11">
        <f t="shared" si="2"/>
        <v>6</v>
      </c>
      <c r="I7" s="11">
        <f t="shared" si="3"/>
        <v>0</v>
      </c>
      <c r="J7" s="11">
        <f t="shared" si="4"/>
        <v>0</v>
      </c>
      <c r="K7" s="12">
        <f t="shared" si="5"/>
        <v>9</v>
      </c>
    </row>
    <row r="8" spans="1:11" x14ac:dyDescent="0.25">
      <c r="A8" s="4" t="s">
        <v>33</v>
      </c>
      <c r="B8" s="63">
        <v>1</v>
      </c>
      <c r="C8" s="63">
        <v>1</v>
      </c>
      <c r="D8" s="63"/>
      <c r="E8" s="63"/>
      <c r="F8" s="63">
        <v>1</v>
      </c>
      <c r="G8" s="11">
        <f t="shared" si="1"/>
        <v>1</v>
      </c>
      <c r="H8" s="11">
        <f t="shared" si="2"/>
        <v>3</v>
      </c>
      <c r="I8" s="11">
        <f t="shared" si="3"/>
        <v>0</v>
      </c>
      <c r="J8" s="11">
        <f t="shared" si="4"/>
        <v>0</v>
      </c>
      <c r="K8" s="12">
        <f t="shared" si="5"/>
        <v>4</v>
      </c>
    </row>
    <row r="9" spans="1:11" x14ac:dyDescent="0.25">
      <c r="A9" s="4" t="s">
        <v>34</v>
      </c>
      <c r="B9" s="63"/>
      <c r="C9" s="63"/>
      <c r="D9" s="63"/>
      <c r="E9" s="63"/>
      <c r="F9" s="63"/>
      <c r="G9" s="11">
        <f t="shared" si="1"/>
        <v>0</v>
      </c>
      <c r="H9" s="11">
        <f t="shared" si="2"/>
        <v>0</v>
      </c>
      <c r="I9" s="11">
        <f t="shared" si="3"/>
        <v>0</v>
      </c>
      <c r="J9" s="11">
        <f t="shared" si="4"/>
        <v>0</v>
      </c>
      <c r="K9" s="12">
        <f t="shared" si="5"/>
        <v>0</v>
      </c>
    </row>
    <row r="10" spans="1:11" x14ac:dyDescent="0.25">
      <c r="A10" s="4" t="s">
        <v>35</v>
      </c>
      <c r="B10" s="63"/>
      <c r="C10" s="63"/>
      <c r="D10" s="63"/>
      <c r="E10" s="63"/>
      <c r="F10" s="63"/>
      <c r="G10" s="11">
        <f t="shared" si="1"/>
        <v>0</v>
      </c>
      <c r="H10" s="11">
        <f t="shared" si="2"/>
        <v>0</v>
      </c>
      <c r="I10" s="11">
        <f t="shared" si="3"/>
        <v>0</v>
      </c>
      <c r="J10" s="11">
        <f t="shared" si="4"/>
        <v>0</v>
      </c>
      <c r="K10" s="12">
        <f t="shared" si="5"/>
        <v>0</v>
      </c>
    </row>
    <row r="11" spans="1:11" x14ac:dyDescent="0.25">
      <c r="A11" s="4" t="s">
        <v>36</v>
      </c>
      <c r="B11" s="63"/>
      <c r="C11" s="63"/>
      <c r="D11" s="63"/>
      <c r="E11" s="63"/>
      <c r="F11" s="63"/>
      <c r="G11" s="11">
        <f t="shared" si="1"/>
        <v>0</v>
      </c>
      <c r="H11" s="11">
        <f t="shared" si="2"/>
        <v>0</v>
      </c>
      <c r="I11" s="11">
        <f t="shared" si="3"/>
        <v>0</v>
      </c>
      <c r="J11" s="11">
        <f t="shared" si="4"/>
        <v>0</v>
      </c>
      <c r="K11" s="12">
        <f t="shared" si="5"/>
        <v>0</v>
      </c>
    </row>
    <row r="12" spans="1:11" x14ac:dyDescent="0.25">
      <c r="A12" s="4" t="s">
        <v>37</v>
      </c>
      <c r="B12" s="63">
        <v>2</v>
      </c>
      <c r="C12" s="63">
        <v>1</v>
      </c>
      <c r="D12" s="63"/>
      <c r="E12" s="63">
        <v>1</v>
      </c>
      <c r="F12" s="63">
        <v>1</v>
      </c>
      <c r="G12" s="11">
        <f t="shared" si="1"/>
        <v>2</v>
      </c>
      <c r="H12" s="11">
        <f t="shared" si="2"/>
        <v>3</v>
      </c>
      <c r="I12" s="11">
        <f t="shared" si="3"/>
        <v>0</v>
      </c>
      <c r="J12" s="11">
        <f t="shared" si="4"/>
        <v>0</v>
      </c>
      <c r="K12" s="12">
        <f t="shared" si="5"/>
        <v>5</v>
      </c>
    </row>
    <row r="13" spans="1:11" x14ac:dyDescent="0.25">
      <c r="A13" s="4" t="s">
        <v>62</v>
      </c>
      <c r="B13" s="63"/>
      <c r="C13" s="63"/>
      <c r="D13" s="63"/>
      <c r="E13" s="63"/>
      <c r="F13" s="63"/>
      <c r="G13" s="11">
        <f t="shared" si="1"/>
        <v>0</v>
      </c>
      <c r="H13" s="11">
        <f t="shared" si="2"/>
        <v>0</v>
      </c>
      <c r="I13" s="11">
        <f t="shared" si="3"/>
        <v>0</v>
      </c>
      <c r="J13" s="11">
        <f t="shared" si="4"/>
        <v>0</v>
      </c>
      <c r="K13" s="12">
        <f t="shared" si="5"/>
        <v>0</v>
      </c>
    </row>
    <row r="14" spans="1:11" x14ac:dyDescent="0.25">
      <c r="A14" s="4" t="s">
        <v>38</v>
      </c>
      <c r="B14" s="63">
        <v>3</v>
      </c>
      <c r="C14" s="63">
        <v>2</v>
      </c>
      <c r="D14" s="63"/>
      <c r="E14" s="63">
        <v>1</v>
      </c>
      <c r="F14" s="63"/>
      <c r="G14" s="11">
        <f t="shared" si="1"/>
        <v>3</v>
      </c>
      <c r="H14" s="11">
        <f t="shared" si="2"/>
        <v>6</v>
      </c>
      <c r="I14" s="11">
        <f t="shared" si="3"/>
        <v>0</v>
      </c>
      <c r="J14" s="11">
        <f t="shared" si="4"/>
        <v>0</v>
      </c>
      <c r="K14" s="12">
        <f t="shared" si="5"/>
        <v>9</v>
      </c>
    </row>
    <row r="15" spans="1:11" x14ac:dyDescent="0.25">
      <c r="A15" s="4" t="s">
        <v>66</v>
      </c>
      <c r="B15" s="63">
        <v>2</v>
      </c>
      <c r="C15" s="63"/>
      <c r="D15" s="63"/>
      <c r="E15" s="63">
        <v>2</v>
      </c>
      <c r="F15" s="63">
        <v>3</v>
      </c>
      <c r="G15" s="11">
        <f t="shared" si="1"/>
        <v>2</v>
      </c>
      <c r="H15" s="11">
        <f t="shared" si="2"/>
        <v>0</v>
      </c>
      <c r="I15" s="11">
        <f t="shared" si="3"/>
        <v>0</v>
      </c>
      <c r="J15" s="11">
        <f t="shared" si="4"/>
        <v>0</v>
      </c>
      <c r="K15" s="12">
        <f t="shared" si="5"/>
        <v>2</v>
      </c>
    </row>
    <row r="16" spans="1:11" x14ac:dyDescent="0.25">
      <c r="A16" s="4" t="s">
        <v>67</v>
      </c>
      <c r="B16" s="63">
        <v>1</v>
      </c>
      <c r="C16" s="63"/>
      <c r="D16" s="63"/>
      <c r="E16" s="63">
        <v>1</v>
      </c>
      <c r="F16" s="63">
        <v>1</v>
      </c>
      <c r="G16" s="11">
        <f t="shared" si="1"/>
        <v>1</v>
      </c>
      <c r="H16" s="11">
        <f t="shared" si="2"/>
        <v>0</v>
      </c>
      <c r="I16" s="11">
        <f t="shared" si="3"/>
        <v>0</v>
      </c>
      <c r="J16" s="11">
        <f t="shared" si="4"/>
        <v>0</v>
      </c>
      <c r="K16" s="12">
        <f t="shared" si="5"/>
        <v>1</v>
      </c>
    </row>
    <row r="17" spans="1:11" x14ac:dyDescent="0.25">
      <c r="A17" s="4" t="s">
        <v>81</v>
      </c>
      <c r="B17" s="63">
        <v>1</v>
      </c>
      <c r="C17" s="63"/>
      <c r="D17" s="63"/>
      <c r="E17" s="63">
        <v>1</v>
      </c>
      <c r="F17" s="63"/>
      <c r="G17" s="11">
        <f t="shared" si="1"/>
        <v>1</v>
      </c>
      <c r="H17" s="11">
        <f t="shared" si="2"/>
        <v>0</v>
      </c>
      <c r="I17" s="11">
        <f t="shared" si="3"/>
        <v>0</v>
      </c>
      <c r="J17" s="11">
        <f t="shared" si="4"/>
        <v>0</v>
      </c>
      <c r="K17" s="12">
        <f t="shared" si="5"/>
        <v>1</v>
      </c>
    </row>
    <row r="18" spans="1:11" x14ac:dyDescent="0.25">
      <c r="A18" s="4" t="s">
        <v>39</v>
      </c>
      <c r="B18" s="63"/>
      <c r="C18" s="63"/>
      <c r="D18" s="63"/>
      <c r="E18" s="63"/>
      <c r="F18" s="63"/>
      <c r="G18" s="11">
        <f t="shared" si="1"/>
        <v>0</v>
      </c>
      <c r="H18" s="11">
        <f t="shared" si="2"/>
        <v>0</v>
      </c>
      <c r="I18" s="11">
        <f t="shared" si="3"/>
        <v>0</v>
      </c>
      <c r="J18" s="11">
        <f t="shared" si="4"/>
        <v>0</v>
      </c>
      <c r="K18" s="12">
        <f t="shared" si="5"/>
        <v>0</v>
      </c>
    </row>
    <row r="19" spans="1:11" x14ac:dyDescent="0.25">
      <c r="A19" s="4" t="s">
        <v>40</v>
      </c>
      <c r="B19" s="63">
        <v>3</v>
      </c>
      <c r="C19" s="63">
        <v>3</v>
      </c>
      <c r="D19" s="63"/>
      <c r="E19" s="63"/>
      <c r="F19" s="63">
        <v>5</v>
      </c>
      <c r="G19" s="11">
        <f t="shared" si="1"/>
        <v>3</v>
      </c>
      <c r="H19" s="11">
        <f t="shared" si="2"/>
        <v>9</v>
      </c>
      <c r="I19" s="11">
        <f t="shared" si="3"/>
        <v>0</v>
      </c>
      <c r="J19" s="11">
        <f t="shared" si="4"/>
        <v>0</v>
      </c>
      <c r="K19" s="12">
        <f t="shared" si="5"/>
        <v>12</v>
      </c>
    </row>
    <row r="20" spans="1:11" x14ac:dyDescent="0.25">
      <c r="A20" s="4" t="s">
        <v>41</v>
      </c>
      <c r="B20" s="63">
        <v>3</v>
      </c>
      <c r="C20" s="63">
        <v>2</v>
      </c>
      <c r="D20" s="63"/>
      <c r="E20" s="63">
        <v>1</v>
      </c>
      <c r="F20" s="63">
        <v>1</v>
      </c>
      <c r="G20" s="11">
        <f t="shared" si="1"/>
        <v>3</v>
      </c>
      <c r="H20" s="11">
        <f t="shared" si="2"/>
        <v>6</v>
      </c>
      <c r="I20" s="11">
        <f t="shared" si="3"/>
        <v>0</v>
      </c>
      <c r="J20" s="11">
        <f t="shared" si="4"/>
        <v>0</v>
      </c>
      <c r="K20" s="12">
        <f t="shared" si="5"/>
        <v>9</v>
      </c>
    </row>
    <row r="21" spans="1:11" x14ac:dyDescent="0.25">
      <c r="A21" s="4" t="s">
        <v>42</v>
      </c>
      <c r="B21" s="63">
        <v>1</v>
      </c>
      <c r="C21" s="63">
        <v>1</v>
      </c>
      <c r="D21" s="63"/>
      <c r="E21" s="63"/>
      <c r="F21" s="63"/>
      <c r="G21" s="11">
        <f t="shared" si="1"/>
        <v>1</v>
      </c>
      <c r="H21" s="11">
        <f t="shared" si="2"/>
        <v>3</v>
      </c>
      <c r="I21" s="11">
        <f t="shared" si="3"/>
        <v>0</v>
      </c>
      <c r="J21" s="11">
        <f t="shared" si="4"/>
        <v>0</v>
      </c>
      <c r="K21" s="12">
        <f t="shared" si="5"/>
        <v>4</v>
      </c>
    </row>
    <row r="22" spans="1:11" x14ac:dyDescent="0.25">
      <c r="A22" s="4" t="s">
        <v>43</v>
      </c>
      <c r="B22" s="63">
        <v>3</v>
      </c>
      <c r="C22" s="63">
        <v>1</v>
      </c>
      <c r="D22" s="63"/>
      <c r="E22" s="63">
        <v>2</v>
      </c>
      <c r="F22" s="63">
        <v>2</v>
      </c>
      <c r="G22" s="11">
        <f t="shared" si="1"/>
        <v>3</v>
      </c>
      <c r="H22" s="11">
        <f t="shared" si="2"/>
        <v>3</v>
      </c>
      <c r="I22" s="11">
        <f t="shared" si="3"/>
        <v>0</v>
      </c>
      <c r="J22" s="11">
        <f t="shared" si="4"/>
        <v>0</v>
      </c>
      <c r="K22" s="12">
        <f t="shared" si="5"/>
        <v>6</v>
      </c>
    </row>
    <row r="23" spans="1:11" x14ac:dyDescent="0.25">
      <c r="A23" s="4" t="s">
        <v>44</v>
      </c>
      <c r="B23" s="63">
        <v>2</v>
      </c>
      <c r="C23" s="63">
        <v>2</v>
      </c>
      <c r="D23" s="63"/>
      <c r="E23" s="63"/>
      <c r="F23" s="63"/>
      <c r="G23" s="11">
        <f t="shared" si="1"/>
        <v>2</v>
      </c>
      <c r="H23" s="11">
        <f t="shared" si="2"/>
        <v>6</v>
      </c>
      <c r="I23" s="11">
        <f t="shared" si="3"/>
        <v>0</v>
      </c>
      <c r="J23" s="11">
        <f t="shared" si="4"/>
        <v>0</v>
      </c>
      <c r="K23" s="12">
        <f t="shared" si="5"/>
        <v>8</v>
      </c>
    </row>
    <row r="24" spans="1:11" x14ac:dyDescent="0.25">
      <c r="A24" s="4" t="s">
        <v>45</v>
      </c>
      <c r="B24" s="63"/>
      <c r="C24" s="63"/>
      <c r="D24" s="63"/>
      <c r="E24" s="63"/>
      <c r="F24" s="63"/>
      <c r="G24" s="11">
        <f t="shared" si="1"/>
        <v>0</v>
      </c>
      <c r="H24" s="11">
        <f t="shared" si="2"/>
        <v>0</v>
      </c>
      <c r="I24" s="11">
        <f t="shared" si="3"/>
        <v>0</v>
      </c>
      <c r="J24" s="11">
        <f t="shared" si="4"/>
        <v>0</v>
      </c>
      <c r="K24" s="12">
        <f t="shared" si="5"/>
        <v>0</v>
      </c>
    </row>
    <row r="25" spans="1:11" x14ac:dyDescent="0.25">
      <c r="A25" s="4" t="s">
        <v>46</v>
      </c>
      <c r="B25" s="63">
        <v>1</v>
      </c>
      <c r="C25" s="63"/>
      <c r="D25" s="63"/>
      <c r="E25" s="63">
        <v>1</v>
      </c>
      <c r="F25" s="63"/>
      <c r="G25" s="11">
        <f t="shared" si="1"/>
        <v>1</v>
      </c>
      <c r="H25" s="11">
        <f t="shared" si="2"/>
        <v>0</v>
      </c>
      <c r="I25" s="11">
        <f t="shared" si="3"/>
        <v>0</v>
      </c>
      <c r="J25" s="11">
        <f t="shared" si="4"/>
        <v>0</v>
      </c>
      <c r="K25" s="12">
        <f t="shared" si="5"/>
        <v>1</v>
      </c>
    </row>
    <row r="26" spans="1:11" x14ac:dyDescent="0.25">
      <c r="A26" s="4" t="s">
        <v>47</v>
      </c>
      <c r="B26" s="63"/>
      <c r="C26" s="63"/>
      <c r="D26" s="63"/>
      <c r="E26" s="63"/>
      <c r="F26" s="63"/>
      <c r="G26" s="11">
        <f t="shared" si="1"/>
        <v>0</v>
      </c>
      <c r="H26" s="11">
        <f t="shared" si="2"/>
        <v>0</v>
      </c>
      <c r="I26" s="11">
        <f t="shared" si="3"/>
        <v>0</v>
      </c>
      <c r="J26" s="11">
        <f t="shared" si="4"/>
        <v>0</v>
      </c>
      <c r="K26" s="12">
        <f t="shared" si="5"/>
        <v>0</v>
      </c>
    </row>
    <row r="27" spans="1:11" x14ac:dyDescent="0.25">
      <c r="A27" s="4" t="s">
        <v>64</v>
      </c>
      <c r="B27" s="63">
        <v>3</v>
      </c>
      <c r="C27" s="63">
        <v>1</v>
      </c>
      <c r="D27" s="63"/>
      <c r="E27" s="63">
        <v>2</v>
      </c>
      <c r="F27" s="63"/>
      <c r="G27" s="11">
        <f t="shared" si="1"/>
        <v>3</v>
      </c>
      <c r="H27" s="11">
        <f t="shared" si="2"/>
        <v>3</v>
      </c>
      <c r="I27" s="11">
        <f t="shared" si="3"/>
        <v>0</v>
      </c>
      <c r="J27" s="11">
        <f t="shared" si="4"/>
        <v>0</v>
      </c>
      <c r="K27" s="12">
        <f t="shared" si="5"/>
        <v>6</v>
      </c>
    </row>
    <row r="28" spans="1:11" x14ac:dyDescent="0.25">
      <c r="A28" s="4" t="s">
        <v>48</v>
      </c>
      <c r="B28" s="63">
        <v>2</v>
      </c>
      <c r="C28" s="63"/>
      <c r="D28" s="63"/>
      <c r="E28" s="63">
        <v>2</v>
      </c>
      <c r="F28" s="63"/>
      <c r="G28" s="11">
        <f t="shared" si="1"/>
        <v>2</v>
      </c>
      <c r="H28" s="11">
        <f t="shared" si="2"/>
        <v>0</v>
      </c>
      <c r="I28" s="11">
        <f t="shared" si="3"/>
        <v>0</v>
      </c>
      <c r="J28" s="11">
        <f t="shared" si="4"/>
        <v>0</v>
      </c>
      <c r="K28" s="12">
        <f t="shared" si="5"/>
        <v>2</v>
      </c>
    </row>
    <row r="29" spans="1:11" x14ac:dyDescent="0.25">
      <c r="A29" s="4" t="s">
        <v>60</v>
      </c>
      <c r="B29" s="63"/>
      <c r="C29" s="63"/>
      <c r="D29" s="63"/>
      <c r="E29" s="63"/>
      <c r="F29" s="63"/>
      <c r="G29" s="11">
        <f t="shared" si="1"/>
        <v>0</v>
      </c>
      <c r="H29" s="11">
        <f t="shared" si="2"/>
        <v>0</v>
      </c>
      <c r="I29" s="11">
        <f t="shared" si="3"/>
        <v>0</v>
      </c>
      <c r="J29" s="11">
        <f t="shared" si="4"/>
        <v>0</v>
      </c>
      <c r="K29" s="12">
        <f t="shared" si="5"/>
        <v>0</v>
      </c>
    </row>
    <row r="30" spans="1:11" x14ac:dyDescent="0.25">
      <c r="A30" s="4" t="s">
        <v>49</v>
      </c>
      <c r="B30" s="63"/>
      <c r="C30" s="63"/>
      <c r="D30" s="63"/>
      <c r="E30" s="63"/>
      <c r="F30" s="63"/>
      <c r="G30" s="11">
        <f t="shared" si="1"/>
        <v>0</v>
      </c>
      <c r="H30" s="11">
        <f t="shared" si="2"/>
        <v>0</v>
      </c>
      <c r="I30" s="11">
        <f t="shared" si="3"/>
        <v>0</v>
      </c>
      <c r="J30" s="11">
        <f t="shared" si="4"/>
        <v>0</v>
      </c>
      <c r="K30" s="12">
        <f t="shared" si="5"/>
        <v>0</v>
      </c>
    </row>
    <row r="31" spans="1:11" x14ac:dyDescent="0.25">
      <c r="A31" s="4" t="s">
        <v>50</v>
      </c>
      <c r="B31" s="63">
        <v>3</v>
      </c>
      <c r="C31" s="63">
        <v>2</v>
      </c>
      <c r="D31" s="63"/>
      <c r="E31" s="63">
        <v>1</v>
      </c>
      <c r="F31" s="63"/>
      <c r="G31" s="11">
        <f t="shared" si="1"/>
        <v>3</v>
      </c>
      <c r="H31" s="11">
        <f t="shared" si="2"/>
        <v>6</v>
      </c>
      <c r="I31" s="11">
        <f t="shared" si="3"/>
        <v>0</v>
      </c>
      <c r="J31" s="11">
        <f t="shared" si="4"/>
        <v>0</v>
      </c>
      <c r="K31" s="12">
        <f t="shared" si="5"/>
        <v>9</v>
      </c>
    </row>
    <row r="32" spans="1:11" x14ac:dyDescent="0.25">
      <c r="A32" s="4" t="s">
        <v>51</v>
      </c>
      <c r="B32" s="63">
        <v>3</v>
      </c>
      <c r="C32" s="63"/>
      <c r="D32" s="63"/>
      <c r="E32" s="63">
        <v>3</v>
      </c>
      <c r="F32" s="63"/>
      <c r="G32" s="11">
        <f t="shared" si="1"/>
        <v>3</v>
      </c>
      <c r="H32" s="11">
        <f t="shared" si="2"/>
        <v>0</v>
      </c>
      <c r="I32" s="11">
        <f t="shared" si="3"/>
        <v>0</v>
      </c>
      <c r="J32" s="11">
        <f t="shared" si="4"/>
        <v>0</v>
      </c>
      <c r="K32" s="12">
        <f t="shared" si="5"/>
        <v>3</v>
      </c>
    </row>
    <row r="33" spans="1:11" x14ac:dyDescent="0.25">
      <c r="A33" s="4" t="s">
        <v>52</v>
      </c>
      <c r="B33" s="63"/>
      <c r="C33" s="63"/>
      <c r="D33" s="63"/>
      <c r="E33" s="63"/>
      <c r="F33" s="63"/>
      <c r="G33" s="11">
        <f t="shared" si="1"/>
        <v>0</v>
      </c>
      <c r="H33" s="11">
        <f t="shared" si="2"/>
        <v>0</v>
      </c>
      <c r="I33" s="11">
        <f t="shared" si="3"/>
        <v>0</v>
      </c>
      <c r="J33" s="11">
        <f t="shared" si="4"/>
        <v>0</v>
      </c>
      <c r="K33" s="12">
        <f t="shared" si="5"/>
        <v>0</v>
      </c>
    </row>
    <row r="34" spans="1:11" x14ac:dyDescent="0.25">
      <c r="A34" s="4" t="s">
        <v>53</v>
      </c>
      <c r="B34" s="63"/>
      <c r="C34" s="63"/>
      <c r="D34" s="63"/>
      <c r="E34" s="63"/>
      <c r="F34" s="63"/>
      <c r="G34" s="11">
        <f t="shared" si="1"/>
        <v>0</v>
      </c>
      <c r="H34" s="11">
        <f t="shared" si="2"/>
        <v>0</v>
      </c>
      <c r="I34" s="11">
        <f t="shared" si="3"/>
        <v>0</v>
      </c>
      <c r="J34" s="11">
        <f t="shared" si="4"/>
        <v>0</v>
      </c>
      <c r="K34" s="12">
        <f t="shared" si="5"/>
        <v>0</v>
      </c>
    </row>
    <row r="35" spans="1:11" x14ac:dyDescent="0.25">
      <c r="A35" s="4" t="s">
        <v>61</v>
      </c>
      <c r="B35" s="63">
        <v>2</v>
      </c>
      <c r="C35" s="63"/>
      <c r="D35" s="63"/>
      <c r="E35" s="63">
        <v>2</v>
      </c>
      <c r="F35" s="63">
        <v>2</v>
      </c>
      <c r="G35" s="11">
        <f t="shared" si="1"/>
        <v>2</v>
      </c>
      <c r="H35" s="11">
        <f t="shared" si="2"/>
        <v>0</v>
      </c>
      <c r="I35" s="11">
        <f t="shared" si="3"/>
        <v>0</v>
      </c>
      <c r="J35" s="11">
        <f t="shared" si="4"/>
        <v>0</v>
      </c>
      <c r="K35" s="12">
        <f t="shared" si="5"/>
        <v>2</v>
      </c>
    </row>
    <row r="36" spans="1:11" x14ac:dyDescent="0.25">
      <c r="A36" s="4" t="s">
        <v>54</v>
      </c>
      <c r="B36" s="63"/>
      <c r="C36" s="63"/>
      <c r="D36" s="63"/>
      <c r="E36" s="63"/>
      <c r="F36" s="63"/>
      <c r="G36" s="11">
        <f t="shared" si="1"/>
        <v>0</v>
      </c>
      <c r="H36" s="11">
        <f t="shared" si="2"/>
        <v>0</v>
      </c>
      <c r="I36" s="11">
        <f t="shared" si="3"/>
        <v>0</v>
      </c>
      <c r="J36" s="11">
        <f t="shared" si="4"/>
        <v>0</v>
      </c>
      <c r="K36" s="12">
        <f t="shared" si="5"/>
        <v>0</v>
      </c>
    </row>
    <row r="37" spans="1:11" x14ac:dyDescent="0.25">
      <c r="A37" s="4" t="s">
        <v>55</v>
      </c>
      <c r="B37" s="63">
        <v>1</v>
      </c>
      <c r="C37" s="63">
        <v>1</v>
      </c>
      <c r="D37" s="63"/>
      <c r="E37" s="63"/>
      <c r="F37" s="63">
        <v>1</v>
      </c>
      <c r="G37" s="11">
        <f t="shared" si="1"/>
        <v>1</v>
      </c>
      <c r="H37" s="11">
        <f t="shared" si="2"/>
        <v>3</v>
      </c>
      <c r="I37" s="11">
        <f t="shared" si="3"/>
        <v>0</v>
      </c>
      <c r="J37" s="11">
        <f t="shared" si="4"/>
        <v>0</v>
      </c>
      <c r="K37" s="12">
        <f t="shared" si="5"/>
        <v>4</v>
      </c>
    </row>
    <row r="38" spans="1:11" x14ac:dyDescent="0.25">
      <c r="A38" s="4" t="s">
        <v>56</v>
      </c>
      <c r="B38" s="63"/>
      <c r="C38" s="63"/>
      <c r="D38" s="63"/>
      <c r="E38" s="63"/>
      <c r="F38" s="63"/>
      <c r="G38" s="11">
        <f t="shared" si="1"/>
        <v>0</v>
      </c>
      <c r="H38" s="11">
        <f t="shared" si="2"/>
        <v>0</v>
      </c>
      <c r="I38" s="11">
        <f t="shared" si="3"/>
        <v>0</v>
      </c>
      <c r="J38" s="11">
        <f t="shared" si="4"/>
        <v>0</v>
      </c>
      <c r="K38" s="12">
        <f t="shared" si="5"/>
        <v>0</v>
      </c>
    </row>
    <row r="39" spans="1:11" x14ac:dyDescent="0.25">
      <c r="A39" s="4" t="s">
        <v>57</v>
      </c>
      <c r="B39" s="63"/>
      <c r="C39" s="63"/>
      <c r="D39" s="63"/>
      <c r="E39" s="63"/>
      <c r="F39" s="63"/>
      <c r="G39" s="11">
        <f t="shared" si="1"/>
        <v>0</v>
      </c>
      <c r="H39" s="11">
        <f t="shared" si="2"/>
        <v>0</v>
      </c>
      <c r="I39" s="11">
        <f t="shared" si="3"/>
        <v>0</v>
      </c>
      <c r="J39" s="11">
        <f t="shared" si="4"/>
        <v>0</v>
      </c>
      <c r="K39" s="12">
        <f t="shared" si="5"/>
        <v>0</v>
      </c>
    </row>
    <row r="40" spans="1:11" x14ac:dyDescent="0.25">
      <c r="A40" s="4" t="s">
        <v>58</v>
      </c>
      <c r="B40" s="63">
        <v>2</v>
      </c>
      <c r="C40" s="63">
        <v>1</v>
      </c>
      <c r="D40" s="63"/>
      <c r="E40" s="63">
        <v>1</v>
      </c>
      <c r="F40" s="63">
        <v>2</v>
      </c>
      <c r="G40" s="11">
        <f t="shared" si="1"/>
        <v>2</v>
      </c>
      <c r="H40" s="11">
        <f t="shared" si="2"/>
        <v>3</v>
      </c>
      <c r="I40" s="11">
        <f t="shared" si="3"/>
        <v>0</v>
      </c>
      <c r="J40" s="11">
        <f t="shared" si="4"/>
        <v>0</v>
      </c>
      <c r="K40" s="12">
        <f t="shared" si="5"/>
        <v>5</v>
      </c>
    </row>
    <row r="41" spans="1:11" x14ac:dyDescent="0.25">
      <c r="A41" s="4" t="s">
        <v>80</v>
      </c>
      <c r="B41" s="63">
        <v>1</v>
      </c>
      <c r="C41" s="63">
        <v>1</v>
      </c>
      <c r="D41" s="63"/>
      <c r="E41" s="63"/>
      <c r="F41" s="63">
        <v>1</v>
      </c>
      <c r="G41" s="11">
        <f t="shared" si="1"/>
        <v>1</v>
      </c>
      <c r="H41" s="11">
        <f t="shared" si="2"/>
        <v>3</v>
      </c>
      <c r="I41" s="11">
        <f t="shared" si="3"/>
        <v>0</v>
      </c>
      <c r="J41" s="11">
        <f t="shared" si="4"/>
        <v>0</v>
      </c>
      <c r="K41" s="12">
        <f t="shared" si="5"/>
        <v>4</v>
      </c>
    </row>
    <row r="42" spans="1:11" x14ac:dyDescent="0.25">
      <c r="A42" s="4" t="s">
        <v>59</v>
      </c>
      <c r="B42" s="63"/>
      <c r="C42" s="63"/>
      <c r="D42" s="63"/>
      <c r="E42" s="63"/>
      <c r="F42" s="63"/>
      <c r="G42" s="11">
        <f t="shared" si="1"/>
        <v>0</v>
      </c>
      <c r="H42" s="11">
        <f t="shared" si="2"/>
        <v>0</v>
      </c>
      <c r="I42" s="11">
        <f t="shared" si="3"/>
        <v>0</v>
      </c>
      <c r="J42" s="11">
        <f t="shared" si="4"/>
        <v>0</v>
      </c>
      <c r="K42" s="12">
        <f t="shared" si="5"/>
        <v>0</v>
      </c>
    </row>
    <row r="43" spans="1:11" x14ac:dyDescent="0.25">
      <c r="A43" s="4" t="s">
        <v>68</v>
      </c>
      <c r="B43" s="63"/>
      <c r="C43" s="63"/>
      <c r="D43" s="63"/>
      <c r="E43" s="63"/>
      <c r="F43" s="63"/>
      <c r="G43" s="11">
        <f t="shared" si="1"/>
        <v>0</v>
      </c>
      <c r="H43" s="11">
        <f t="shared" si="2"/>
        <v>0</v>
      </c>
      <c r="I43" s="11">
        <f t="shared" si="3"/>
        <v>0</v>
      </c>
      <c r="J43" s="11">
        <f t="shared" si="4"/>
        <v>0</v>
      </c>
      <c r="K43" s="12">
        <f t="shared" si="5"/>
        <v>0</v>
      </c>
    </row>
    <row r="44" spans="1:11" x14ac:dyDescent="0.25">
      <c r="A44" s="4" t="s">
        <v>69</v>
      </c>
      <c r="B44" s="63"/>
      <c r="C44" s="63"/>
      <c r="D44" s="63"/>
      <c r="E44" s="63"/>
      <c r="F44" s="63"/>
      <c r="G44" s="11">
        <f t="shared" ref="G44" si="6">B44*$G$1</f>
        <v>0</v>
      </c>
      <c r="H44" s="11">
        <f t="shared" ref="H44" si="7">C44*$H$1</f>
        <v>0</v>
      </c>
      <c r="I44" s="11">
        <f t="shared" ref="I44" si="8">D44*$I$1</f>
        <v>0</v>
      </c>
      <c r="J44" s="11">
        <f t="shared" ref="J44" si="9">E44*$J$1</f>
        <v>0</v>
      </c>
      <c r="K44" s="12">
        <f t="shared" ref="K44" si="10">SUM(G44:J44)</f>
        <v>0</v>
      </c>
    </row>
    <row r="45" spans="1:11" x14ac:dyDescent="0.25">
      <c r="A45" s="4" t="s">
        <v>70</v>
      </c>
      <c r="B45" s="63"/>
      <c r="C45" s="63"/>
      <c r="D45" s="63"/>
      <c r="E45" s="63"/>
      <c r="F45" s="63"/>
      <c r="G45" s="11">
        <f t="shared" ref="G45:G54" si="11">B45*$G$1</f>
        <v>0</v>
      </c>
      <c r="H45" s="11">
        <f t="shared" ref="H45:H54" si="12">C45*$H$1</f>
        <v>0</v>
      </c>
      <c r="I45" s="11">
        <f t="shared" ref="I45:I54" si="13">D45*$I$1</f>
        <v>0</v>
      </c>
      <c r="J45" s="11">
        <f t="shared" ref="J45:J54" si="14">E45*$J$1</f>
        <v>0</v>
      </c>
      <c r="K45" s="12">
        <f t="shared" ref="K45:K54" si="15">SUM(G45:J45)</f>
        <v>0</v>
      </c>
    </row>
    <row r="46" spans="1:11" x14ac:dyDescent="0.25">
      <c r="A46" s="4" t="s">
        <v>71</v>
      </c>
      <c r="B46" s="63"/>
      <c r="C46" s="63"/>
      <c r="D46" s="63"/>
      <c r="E46" s="63"/>
      <c r="F46" s="63"/>
      <c r="G46" s="11">
        <f t="shared" si="11"/>
        <v>0</v>
      </c>
      <c r="H46" s="11">
        <f t="shared" si="12"/>
        <v>0</v>
      </c>
      <c r="I46" s="11">
        <f t="shared" si="13"/>
        <v>0</v>
      </c>
      <c r="J46" s="11">
        <f t="shared" si="14"/>
        <v>0</v>
      </c>
      <c r="K46" s="12">
        <f t="shared" si="15"/>
        <v>0</v>
      </c>
    </row>
    <row r="47" spans="1:11" x14ac:dyDescent="0.25">
      <c r="A47" s="4" t="s">
        <v>72</v>
      </c>
      <c r="B47" s="63"/>
      <c r="C47" s="63"/>
      <c r="D47" s="63"/>
      <c r="E47" s="63"/>
      <c r="F47" s="63"/>
      <c r="G47" s="11">
        <f t="shared" si="11"/>
        <v>0</v>
      </c>
      <c r="H47" s="11">
        <f t="shared" si="12"/>
        <v>0</v>
      </c>
      <c r="I47" s="11">
        <f t="shared" si="13"/>
        <v>0</v>
      </c>
      <c r="J47" s="11">
        <f t="shared" si="14"/>
        <v>0</v>
      </c>
      <c r="K47" s="12">
        <f t="shared" si="15"/>
        <v>0</v>
      </c>
    </row>
    <row r="48" spans="1:11" x14ac:dyDescent="0.25">
      <c r="A48" s="4" t="s">
        <v>73</v>
      </c>
      <c r="B48" s="63"/>
      <c r="C48" s="63"/>
      <c r="D48" s="63"/>
      <c r="E48" s="63"/>
      <c r="F48" s="63"/>
      <c r="G48" s="11">
        <f t="shared" si="11"/>
        <v>0</v>
      </c>
      <c r="H48" s="11">
        <f t="shared" si="12"/>
        <v>0</v>
      </c>
      <c r="I48" s="11">
        <f t="shared" si="13"/>
        <v>0</v>
      </c>
      <c r="J48" s="11">
        <f t="shared" si="14"/>
        <v>0</v>
      </c>
      <c r="K48" s="12">
        <f t="shared" si="15"/>
        <v>0</v>
      </c>
    </row>
    <row r="49" spans="1:11" x14ac:dyDescent="0.25">
      <c r="A49" s="4" t="s">
        <v>74</v>
      </c>
      <c r="B49" s="63"/>
      <c r="C49" s="63"/>
      <c r="D49" s="63"/>
      <c r="E49" s="63"/>
      <c r="F49" s="63"/>
      <c r="G49" s="11">
        <f t="shared" si="11"/>
        <v>0</v>
      </c>
      <c r="H49" s="11">
        <f t="shared" si="12"/>
        <v>0</v>
      </c>
      <c r="I49" s="11">
        <f t="shared" si="13"/>
        <v>0</v>
      </c>
      <c r="J49" s="11">
        <f t="shared" si="14"/>
        <v>0</v>
      </c>
      <c r="K49" s="12">
        <f t="shared" si="15"/>
        <v>0</v>
      </c>
    </row>
    <row r="50" spans="1:11" x14ac:dyDescent="0.25">
      <c r="A50" s="4" t="s">
        <v>75</v>
      </c>
      <c r="B50" s="63"/>
      <c r="C50" s="63"/>
      <c r="D50" s="63"/>
      <c r="E50" s="63"/>
      <c r="F50" s="63"/>
      <c r="G50" s="11">
        <f t="shared" si="11"/>
        <v>0</v>
      </c>
      <c r="H50" s="11">
        <f t="shared" si="12"/>
        <v>0</v>
      </c>
      <c r="I50" s="11">
        <f t="shared" si="13"/>
        <v>0</v>
      </c>
      <c r="J50" s="11">
        <f t="shared" si="14"/>
        <v>0</v>
      </c>
      <c r="K50" s="12">
        <f t="shared" si="15"/>
        <v>0</v>
      </c>
    </row>
    <row r="51" spans="1:11" x14ac:dyDescent="0.25">
      <c r="A51" s="4" t="s">
        <v>76</v>
      </c>
      <c r="B51" s="63"/>
      <c r="C51" s="63"/>
      <c r="D51" s="63"/>
      <c r="E51" s="63"/>
      <c r="F51" s="63"/>
      <c r="G51" s="11">
        <f t="shared" si="11"/>
        <v>0</v>
      </c>
      <c r="H51" s="11">
        <f t="shared" si="12"/>
        <v>0</v>
      </c>
      <c r="I51" s="11">
        <f t="shared" si="13"/>
        <v>0</v>
      </c>
      <c r="J51" s="11">
        <f t="shared" si="14"/>
        <v>0</v>
      </c>
      <c r="K51" s="12">
        <f t="shared" si="15"/>
        <v>0</v>
      </c>
    </row>
    <row r="52" spans="1:11" x14ac:dyDescent="0.25">
      <c r="A52" s="4" t="s">
        <v>77</v>
      </c>
      <c r="B52" s="63"/>
      <c r="C52" s="63"/>
      <c r="D52" s="63"/>
      <c r="E52" s="63"/>
      <c r="F52" s="63"/>
      <c r="G52" s="11">
        <f t="shared" si="11"/>
        <v>0</v>
      </c>
      <c r="H52" s="11">
        <f t="shared" si="12"/>
        <v>0</v>
      </c>
      <c r="I52" s="11">
        <f t="shared" si="13"/>
        <v>0</v>
      </c>
      <c r="J52" s="11">
        <f t="shared" si="14"/>
        <v>0</v>
      </c>
      <c r="K52" s="12">
        <f t="shared" si="15"/>
        <v>0</v>
      </c>
    </row>
    <row r="53" spans="1:11" x14ac:dyDescent="0.25">
      <c r="A53" s="4" t="s">
        <v>78</v>
      </c>
      <c r="B53" s="63"/>
      <c r="C53" s="63"/>
      <c r="D53" s="63"/>
      <c r="E53" s="63"/>
      <c r="F53" s="63"/>
      <c r="G53" s="11">
        <f t="shared" si="11"/>
        <v>0</v>
      </c>
      <c r="H53" s="11">
        <f t="shared" si="12"/>
        <v>0</v>
      </c>
      <c r="I53" s="11">
        <f t="shared" si="13"/>
        <v>0</v>
      </c>
      <c r="J53" s="11">
        <f t="shared" si="14"/>
        <v>0</v>
      </c>
      <c r="K53" s="12">
        <f t="shared" si="15"/>
        <v>0</v>
      </c>
    </row>
    <row r="54" spans="1:11" x14ac:dyDescent="0.25">
      <c r="A54" s="4" t="s">
        <v>5</v>
      </c>
      <c r="B54" s="63"/>
      <c r="C54" s="63"/>
      <c r="D54" s="63"/>
      <c r="E54" s="63"/>
      <c r="F54" s="63"/>
      <c r="G54" s="11">
        <f t="shared" si="11"/>
        <v>0</v>
      </c>
      <c r="H54" s="11">
        <f t="shared" si="12"/>
        <v>0</v>
      </c>
      <c r="I54" s="11">
        <f t="shared" si="13"/>
        <v>0</v>
      </c>
      <c r="J54" s="11">
        <f t="shared" si="14"/>
        <v>0</v>
      </c>
      <c r="K54" s="12">
        <f t="shared" si="15"/>
        <v>0</v>
      </c>
    </row>
    <row r="55" spans="1:11" x14ac:dyDescent="0.25">
      <c r="A55" s="4" t="s">
        <v>0</v>
      </c>
      <c r="B55" s="63">
        <v>48</v>
      </c>
      <c r="C55" s="63">
        <v>24</v>
      </c>
      <c r="D55" s="63"/>
      <c r="E55" s="63">
        <v>24</v>
      </c>
      <c r="F55" s="63">
        <v>23</v>
      </c>
      <c r="G55" s="9">
        <f>SUM(G4:G54)</f>
        <v>48</v>
      </c>
      <c r="H55" s="9">
        <f>SUM(H4:H54)</f>
        <v>72</v>
      </c>
      <c r="I55" s="9">
        <f>SUM(I4:I54)</f>
        <v>0</v>
      </c>
      <c r="J55" s="9">
        <f>SUM(J4:J54)</f>
        <v>0</v>
      </c>
      <c r="K55" s="14">
        <f>SUM(K4:K54)</f>
        <v>120</v>
      </c>
    </row>
  </sheetData>
  <conditionalFormatting sqref="A1:F1">
    <cfRule type="expression" dxfId="2" priority="2" stopIfTrue="1">
      <formula>$E$1&lt;&gt;""</formula>
    </cfRule>
  </conditionalFormatting>
  <conditionalFormatting sqref="DE1">
    <cfRule type="expression" dxfId="1" priority="3" stopIfTrue="1">
      <formula>$E$1&lt;&gt;""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E5E18A-F80D-430E-882B-EA36E8ADF92A}">
  <dimension ref="A1:E55"/>
  <sheetViews>
    <sheetView workbookViewId="0">
      <selection activeCell="C1" sqref="C1"/>
    </sheetView>
  </sheetViews>
  <sheetFormatPr defaultRowHeight="15" x14ac:dyDescent="0.25"/>
  <cols>
    <col min="1" max="1" width="18.28515625" bestFit="1" customWidth="1"/>
    <col min="2" max="2" width="12.5703125" bestFit="1" customWidth="1"/>
    <col min="3" max="3" width="14.85546875" bestFit="1" customWidth="1"/>
    <col min="4" max="4" width="11.5703125" bestFit="1" customWidth="1"/>
    <col min="5" max="5" width="19.140625" customWidth="1"/>
  </cols>
  <sheetData>
    <row r="1" spans="1:5" x14ac:dyDescent="0.25">
      <c r="A1" s="8" t="s">
        <v>10</v>
      </c>
      <c r="B1" s="9">
        <f>SUM(C55:C55)</f>
        <v>23</v>
      </c>
      <c r="C1" s="9" t="str">
        <f>IF(GETPIVOTDATA("Somma di GF",$A$3)=B1,"",1)</f>
        <v/>
      </c>
      <c r="D1" s="8"/>
      <c r="E1" s="8"/>
    </row>
    <row r="3" spans="1:5" x14ac:dyDescent="0.25">
      <c r="A3" s="3" t="s">
        <v>4</v>
      </c>
      <c r="B3" t="s">
        <v>29</v>
      </c>
      <c r="C3" t="s">
        <v>30</v>
      </c>
      <c r="D3" t="s">
        <v>8</v>
      </c>
      <c r="E3" s="17" t="s">
        <v>14</v>
      </c>
    </row>
    <row r="4" spans="1:5" x14ac:dyDescent="0.25">
      <c r="A4" s="4" t="s">
        <v>32</v>
      </c>
      <c r="B4" s="63"/>
      <c r="C4" s="63">
        <v>6</v>
      </c>
      <c r="D4" s="63">
        <v>2</v>
      </c>
      <c r="E4" s="16">
        <f>IF(B4=0,0,B4/D4)</f>
        <v>0</v>
      </c>
    </row>
    <row r="5" spans="1:5" x14ac:dyDescent="0.25">
      <c r="A5" s="4" t="s">
        <v>63</v>
      </c>
      <c r="B5" s="63"/>
      <c r="C5" s="63"/>
      <c r="D5" s="63"/>
      <c r="E5" s="16">
        <f>IF(B5=0,0,B5/D5)</f>
        <v>0</v>
      </c>
    </row>
    <row r="6" spans="1:5" x14ac:dyDescent="0.25">
      <c r="A6" s="4" t="s">
        <v>79</v>
      </c>
      <c r="B6" s="63">
        <v>1</v>
      </c>
      <c r="C6" s="63"/>
      <c r="D6" s="63">
        <v>3</v>
      </c>
      <c r="E6" s="16">
        <f t="shared" ref="E6:E54" si="0">IF(B6=0,0,B6/D6)</f>
        <v>0.33333333333333331</v>
      </c>
    </row>
    <row r="7" spans="1:5" x14ac:dyDescent="0.25">
      <c r="A7" s="4" t="s">
        <v>65</v>
      </c>
      <c r="B7" s="63">
        <v>2</v>
      </c>
      <c r="C7" s="63"/>
      <c r="D7" s="63">
        <v>3</v>
      </c>
      <c r="E7" s="16">
        <f t="shared" si="0"/>
        <v>0.66666666666666663</v>
      </c>
    </row>
    <row r="8" spans="1:5" x14ac:dyDescent="0.25">
      <c r="A8" s="4" t="s">
        <v>33</v>
      </c>
      <c r="B8" s="63">
        <v>1</v>
      </c>
      <c r="C8" s="63">
        <v>9</v>
      </c>
      <c r="D8" s="63">
        <v>1</v>
      </c>
      <c r="E8" s="16">
        <f t="shared" si="0"/>
        <v>1</v>
      </c>
    </row>
    <row r="9" spans="1:5" x14ac:dyDescent="0.25">
      <c r="A9" s="4" t="s">
        <v>34</v>
      </c>
      <c r="B9" s="63"/>
      <c r="C9" s="63"/>
      <c r="D9" s="63"/>
      <c r="E9" s="16">
        <f t="shared" si="0"/>
        <v>0</v>
      </c>
    </row>
    <row r="10" spans="1:5" x14ac:dyDescent="0.25">
      <c r="A10" s="4" t="s">
        <v>35</v>
      </c>
      <c r="B10" s="63"/>
      <c r="C10" s="63"/>
      <c r="D10" s="63"/>
      <c r="E10" s="16">
        <f t="shared" si="0"/>
        <v>0</v>
      </c>
    </row>
    <row r="11" spans="1:5" x14ac:dyDescent="0.25">
      <c r="A11" s="4" t="s">
        <v>36</v>
      </c>
      <c r="B11" s="63"/>
      <c r="C11" s="63"/>
      <c r="D11" s="63"/>
      <c r="E11" s="16">
        <f t="shared" si="0"/>
        <v>0</v>
      </c>
    </row>
    <row r="12" spans="1:5" x14ac:dyDescent="0.25">
      <c r="A12" s="4" t="s">
        <v>37</v>
      </c>
      <c r="B12" s="63">
        <v>1</v>
      </c>
      <c r="C12" s="63"/>
      <c r="D12" s="63">
        <v>2</v>
      </c>
      <c r="E12" s="16">
        <f t="shared" si="0"/>
        <v>0.5</v>
      </c>
    </row>
    <row r="13" spans="1:5" x14ac:dyDescent="0.25">
      <c r="A13" s="4" t="s">
        <v>62</v>
      </c>
      <c r="B13" s="63"/>
      <c r="C13" s="63"/>
      <c r="D13" s="63"/>
      <c r="E13" s="16">
        <f t="shared" si="0"/>
        <v>0</v>
      </c>
    </row>
    <row r="14" spans="1:5" x14ac:dyDescent="0.25">
      <c r="A14" s="4" t="s">
        <v>38</v>
      </c>
      <c r="B14" s="63"/>
      <c r="C14" s="63"/>
      <c r="D14" s="63">
        <v>3</v>
      </c>
      <c r="E14" s="16">
        <f t="shared" si="0"/>
        <v>0</v>
      </c>
    </row>
    <row r="15" spans="1:5" x14ac:dyDescent="0.25">
      <c r="A15" s="4" t="s">
        <v>66</v>
      </c>
      <c r="B15" s="63">
        <v>3</v>
      </c>
      <c r="C15" s="63"/>
      <c r="D15" s="63">
        <v>2</v>
      </c>
      <c r="E15" s="16">
        <f t="shared" si="0"/>
        <v>1.5</v>
      </c>
    </row>
    <row r="16" spans="1:5" x14ac:dyDescent="0.25">
      <c r="A16" s="4" t="s">
        <v>67</v>
      </c>
      <c r="B16" s="63">
        <v>1</v>
      </c>
      <c r="C16" s="63"/>
      <c r="D16" s="63">
        <v>1</v>
      </c>
      <c r="E16" s="16">
        <f t="shared" si="0"/>
        <v>1</v>
      </c>
    </row>
    <row r="17" spans="1:5" x14ac:dyDescent="0.25">
      <c r="A17" s="4" t="s">
        <v>81</v>
      </c>
      <c r="B17" s="63"/>
      <c r="C17" s="63"/>
      <c r="D17" s="63">
        <v>1</v>
      </c>
      <c r="E17" s="16">
        <f t="shared" si="0"/>
        <v>0</v>
      </c>
    </row>
    <row r="18" spans="1:5" x14ac:dyDescent="0.25">
      <c r="A18" s="4" t="s">
        <v>39</v>
      </c>
      <c r="B18" s="63"/>
      <c r="C18" s="63"/>
      <c r="D18" s="63"/>
      <c r="E18" s="16">
        <f t="shared" si="0"/>
        <v>0</v>
      </c>
    </row>
    <row r="19" spans="1:5" x14ac:dyDescent="0.25">
      <c r="A19" s="4" t="s">
        <v>40</v>
      </c>
      <c r="B19" s="63">
        <v>5</v>
      </c>
      <c r="C19" s="63"/>
      <c r="D19" s="63">
        <v>3</v>
      </c>
      <c r="E19" s="16">
        <f t="shared" si="0"/>
        <v>1.6666666666666667</v>
      </c>
    </row>
    <row r="20" spans="1:5" x14ac:dyDescent="0.25">
      <c r="A20" s="4" t="s">
        <v>41</v>
      </c>
      <c r="B20" s="63">
        <v>1</v>
      </c>
      <c r="C20" s="63"/>
      <c r="D20" s="63">
        <v>3</v>
      </c>
      <c r="E20" s="16">
        <f t="shared" si="0"/>
        <v>0.33333333333333331</v>
      </c>
    </row>
    <row r="21" spans="1:5" x14ac:dyDescent="0.25">
      <c r="A21" s="4" t="s">
        <v>42</v>
      </c>
      <c r="B21" s="63"/>
      <c r="C21" s="63">
        <v>8</v>
      </c>
      <c r="D21" s="63">
        <v>1</v>
      </c>
      <c r="E21" s="16">
        <f t="shared" si="0"/>
        <v>0</v>
      </c>
    </row>
    <row r="22" spans="1:5" x14ac:dyDescent="0.25">
      <c r="A22" s="4" t="s">
        <v>43</v>
      </c>
      <c r="B22" s="63">
        <v>2</v>
      </c>
      <c r="C22" s="63"/>
      <c r="D22" s="63">
        <v>3</v>
      </c>
      <c r="E22" s="16">
        <f t="shared" si="0"/>
        <v>0.66666666666666663</v>
      </c>
    </row>
    <row r="23" spans="1:5" x14ac:dyDescent="0.25">
      <c r="A23" s="4" t="s">
        <v>44</v>
      </c>
      <c r="B23" s="63"/>
      <c r="C23" s="63"/>
      <c r="D23" s="63">
        <v>2</v>
      </c>
      <c r="E23" s="16">
        <f t="shared" si="0"/>
        <v>0</v>
      </c>
    </row>
    <row r="24" spans="1:5" x14ac:dyDescent="0.25">
      <c r="A24" s="4" t="s">
        <v>45</v>
      </c>
      <c r="B24" s="63"/>
      <c r="C24" s="63"/>
      <c r="D24" s="63"/>
      <c r="E24" s="16">
        <f t="shared" si="0"/>
        <v>0</v>
      </c>
    </row>
    <row r="25" spans="1:5" x14ac:dyDescent="0.25">
      <c r="A25" s="4" t="s">
        <v>46</v>
      </c>
      <c r="B25" s="63"/>
      <c r="C25" s="63"/>
      <c r="D25" s="63">
        <v>1</v>
      </c>
      <c r="E25" s="16">
        <f t="shared" si="0"/>
        <v>0</v>
      </c>
    </row>
    <row r="26" spans="1:5" x14ac:dyDescent="0.25">
      <c r="A26" s="4" t="s">
        <v>47</v>
      </c>
      <c r="B26" s="63"/>
      <c r="C26" s="63"/>
      <c r="D26" s="63"/>
      <c r="E26" s="16">
        <f t="shared" si="0"/>
        <v>0</v>
      </c>
    </row>
    <row r="27" spans="1:5" x14ac:dyDescent="0.25">
      <c r="A27" s="4" t="s">
        <v>64</v>
      </c>
      <c r="B27" s="63"/>
      <c r="C27" s="63"/>
      <c r="D27" s="63">
        <v>3</v>
      </c>
      <c r="E27" s="16">
        <f t="shared" si="0"/>
        <v>0</v>
      </c>
    </row>
    <row r="28" spans="1:5" x14ac:dyDescent="0.25">
      <c r="A28" s="4" t="s">
        <v>48</v>
      </c>
      <c r="B28" s="63"/>
      <c r="C28" s="63"/>
      <c r="D28" s="63">
        <v>2</v>
      </c>
      <c r="E28" s="16">
        <f t="shared" si="0"/>
        <v>0</v>
      </c>
    </row>
    <row r="29" spans="1:5" x14ac:dyDescent="0.25">
      <c r="A29" s="4" t="s">
        <v>60</v>
      </c>
      <c r="B29" s="63"/>
      <c r="C29" s="63"/>
      <c r="D29" s="63"/>
      <c r="E29" s="16">
        <f t="shared" si="0"/>
        <v>0</v>
      </c>
    </row>
    <row r="30" spans="1:5" x14ac:dyDescent="0.25">
      <c r="A30" s="4" t="s">
        <v>49</v>
      </c>
      <c r="B30" s="63"/>
      <c r="C30" s="63"/>
      <c r="D30" s="63"/>
      <c r="E30" s="16">
        <f t="shared" si="0"/>
        <v>0</v>
      </c>
    </row>
    <row r="31" spans="1:5" x14ac:dyDescent="0.25">
      <c r="A31" s="4" t="s">
        <v>50</v>
      </c>
      <c r="B31" s="63"/>
      <c r="C31" s="63"/>
      <c r="D31" s="63">
        <v>3</v>
      </c>
      <c r="E31" s="16">
        <f t="shared" si="0"/>
        <v>0</v>
      </c>
    </row>
    <row r="32" spans="1:5" x14ac:dyDescent="0.25">
      <c r="A32" s="4" t="s">
        <v>51</v>
      </c>
      <c r="B32" s="63"/>
      <c r="C32" s="63"/>
      <c r="D32" s="63">
        <v>3</v>
      </c>
      <c r="E32" s="16">
        <f t="shared" si="0"/>
        <v>0</v>
      </c>
    </row>
    <row r="33" spans="1:5" x14ac:dyDescent="0.25">
      <c r="A33" s="4" t="s">
        <v>52</v>
      </c>
      <c r="B33" s="63"/>
      <c r="C33" s="63"/>
      <c r="D33" s="63"/>
      <c r="E33" s="16">
        <f t="shared" si="0"/>
        <v>0</v>
      </c>
    </row>
    <row r="34" spans="1:5" x14ac:dyDescent="0.25">
      <c r="A34" s="4" t="s">
        <v>53</v>
      </c>
      <c r="B34" s="63"/>
      <c r="C34" s="63"/>
      <c r="D34" s="63"/>
      <c r="E34" s="16">
        <f t="shared" si="0"/>
        <v>0</v>
      </c>
    </row>
    <row r="35" spans="1:5" x14ac:dyDescent="0.25">
      <c r="A35" s="4" t="s">
        <v>61</v>
      </c>
      <c r="B35" s="63">
        <v>2</v>
      </c>
      <c r="C35" s="63"/>
      <c r="D35" s="63">
        <v>2</v>
      </c>
      <c r="E35" s="16">
        <f t="shared" si="0"/>
        <v>1</v>
      </c>
    </row>
    <row r="36" spans="1:5" x14ac:dyDescent="0.25">
      <c r="A36" s="4" t="s">
        <v>54</v>
      </c>
      <c r="B36" s="63"/>
      <c r="C36" s="63"/>
      <c r="D36" s="63"/>
      <c r="E36" s="16">
        <f t="shared" si="0"/>
        <v>0</v>
      </c>
    </row>
    <row r="37" spans="1:5" x14ac:dyDescent="0.25">
      <c r="A37" s="4" t="s">
        <v>55</v>
      </c>
      <c r="B37" s="63">
        <v>1</v>
      </c>
      <c r="C37" s="63"/>
      <c r="D37" s="63">
        <v>1</v>
      </c>
      <c r="E37" s="16">
        <f t="shared" si="0"/>
        <v>1</v>
      </c>
    </row>
    <row r="38" spans="1:5" x14ac:dyDescent="0.25">
      <c r="A38" s="4" t="s">
        <v>56</v>
      </c>
      <c r="B38" s="63"/>
      <c r="C38" s="63"/>
      <c r="D38" s="63"/>
      <c r="E38" s="16">
        <f t="shared" si="0"/>
        <v>0</v>
      </c>
    </row>
    <row r="39" spans="1:5" x14ac:dyDescent="0.25">
      <c r="A39" s="4" t="s">
        <v>57</v>
      </c>
      <c r="B39" s="63"/>
      <c r="C39" s="63"/>
      <c r="D39" s="63"/>
      <c r="E39" s="16">
        <f t="shared" si="0"/>
        <v>0</v>
      </c>
    </row>
    <row r="40" spans="1:5" x14ac:dyDescent="0.25">
      <c r="A40" s="4" t="s">
        <v>58</v>
      </c>
      <c r="B40" s="63">
        <v>2</v>
      </c>
      <c r="C40" s="63"/>
      <c r="D40" s="63">
        <v>2</v>
      </c>
      <c r="E40" s="16">
        <f t="shared" si="0"/>
        <v>1</v>
      </c>
    </row>
    <row r="41" spans="1:5" x14ac:dyDescent="0.25">
      <c r="A41" s="4" t="s">
        <v>80</v>
      </c>
      <c r="B41" s="63">
        <v>1</v>
      </c>
      <c r="C41" s="63"/>
      <c r="D41" s="63">
        <v>1</v>
      </c>
      <c r="E41" s="16">
        <f t="shared" si="0"/>
        <v>1</v>
      </c>
    </row>
    <row r="42" spans="1:5" x14ac:dyDescent="0.25">
      <c r="A42" s="4" t="s">
        <v>59</v>
      </c>
      <c r="B42" s="63"/>
      <c r="C42" s="63"/>
      <c r="D42" s="63"/>
      <c r="E42" s="16">
        <f t="shared" si="0"/>
        <v>0</v>
      </c>
    </row>
    <row r="43" spans="1:5" x14ac:dyDescent="0.25">
      <c r="A43" s="4" t="s">
        <v>68</v>
      </c>
      <c r="B43" s="63"/>
      <c r="C43" s="63"/>
      <c r="D43" s="63"/>
      <c r="E43" s="16">
        <f t="shared" si="0"/>
        <v>0</v>
      </c>
    </row>
    <row r="44" spans="1:5" x14ac:dyDescent="0.25">
      <c r="A44" s="4" t="s">
        <v>69</v>
      </c>
      <c r="B44" s="63"/>
      <c r="C44" s="63"/>
      <c r="D44" s="63"/>
      <c r="E44" s="16">
        <f t="shared" si="0"/>
        <v>0</v>
      </c>
    </row>
    <row r="45" spans="1:5" x14ac:dyDescent="0.25">
      <c r="A45" s="4" t="s">
        <v>70</v>
      </c>
      <c r="B45" s="63"/>
      <c r="C45" s="63"/>
      <c r="D45" s="63"/>
      <c r="E45" s="16">
        <f t="shared" si="0"/>
        <v>0</v>
      </c>
    </row>
    <row r="46" spans="1:5" x14ac:dyDescent="0.25">
      <c r="A46" s="4" t="s">
        <v>71</v>
      </c>
      <c r="B46" s="63"/>
      <c r="C46" s="63"/>
      <c r="D46" s="63"/>
      <c r="E46" s="16">
        <f t="shared" si="0"/>
        <v>0</v>
      </c>
    </row>
    <row r="47" spans="1:5" x14ac:dyDescent="0.25">
      <c r="A47" s="4" t="s">
        <v>72</v>
      </c>
      <c r="B47" s="63"/>
      <c r="C47" s="63"/>
      <c r="D47" s="63"/>
      <c r="E47" s="16">
        <f t="shared" si="0"/>
        <v>0</v>
      </c>
    </row>
    <row r="48" spans="1:5" x14ac:dyDescent="0.25">
      <c r="A48" s="4" t="s">
        <v>73</v>
      </c>
      <c r="B48" s="63"/>
      <c r="C48" s="63"/>
      <c r="D48" s="63"/>
      <c r="E48" s="16">
        <f t="shared" si="0"/>
        <v>0</v>
      </c>
    </row>
    <row r="49" spans="1:5" x14ac:dyDescent="0.25">
      <c r="A49" s="4" t="s">
        <v>74</v>
      </c>
      <c r="B49" s="63"/>
      <c r="C49" s="63"/>
      <c r="D49" s="63"/>
      <c r="E49" s="16">
        <f t="shared" si="0"/>
        <v>0</v>
      </c>
    </row>
    <row r="50" spans="1:5" x14ac:dyDescent="0.25">
      <c r="A50" s="4" t="s">
        <v>75</v>
      </c>
      <c r="B50" s="63"/>
      <c r="C50" s="63"/>
      <c r="D50" s="63"/>
      <c r="E50" s="16">
        <f t="shared" si="0"/>
        <v>0</v>
      </c>
    </row>
    <row r="51" spans="1:5" x14ac:dyDescent="0.25">
      <c r="A51" s="4" t="s">
        <v>76</v>
      </c>
      <c r="B51" s="63"/>
      <c r="C51" s="63"/>
      <c r="D51" s="63"/>
      <c r="E51" s="16">
        <f t="shared" si="0"/>
        <v>0</v>
      </c>
    </row>
    <row r="52" spans="1:5" x14ac:dyDescent="0.25">
      <c r="A52" s="4" t="s">
        <v>77</v>
      </c>
      <c r="B52" s="63"/>
      <c r="C52" s="63"/>
      <c r="D52" s="63"/>
      <c r="E52" s="16">
        <f t="shared" si="0"/>
        <v>0</v>
      </c>
    </row>
    <row r="53" spans="1:5" x14ac:dyDescent="0.25">
      <c r="A53" s="4" t="s">
        <v>78</v>
      </c>
      <c r="B53" s="63"/>
      <c r="C53" s="63"/>
      <c r="D53" s="63"/>
      <c r="E53" s="16">
        <f t="shared" si="0"/>
        <v>0</v>
      </c>
    </row>
    <row r="54" spans="1:5" x14ac:dyDescent="0.25">
      <c r="A54" s="4" t="s">
        <v>5</v>
      </c>
      <c r="B54" s="63"/>
      <c r="C54" s="63"/>
      <c r="D54" s="63"/>
      <c r="E54" s="16">
        <f t="shared" si="0"/>
        <v>0</v>
      </c>
    </row>
    <row r="55" spans="1:5" x14ac:dyDescent="0.25">
      <c r="A55" s="4" t="s">
        <v>0</v>
      </c>
      <c r="B55" s="63">
        <v>23</v>
      </c>
      <c r="C55" s="63">
        <v>23</v>
      </c>
      <c r="D55" s="63">
        <v>48</v>
      </c>
    </row>
  </sheetData>
  <conditionalFormatting sqref="A1:E1">
    <cfRule type="expression" dxfId="0" priority="1">
      <formula>$C$1&lt;&gt;""</formula>
    </cfRule>
  </conditionalFormatting>
  <pageMargins left="0.7" right="0.7" top="0.75" bottom="0.75" header="0.3" footer="0.3"/>
  <pageSetup paperSize="9" orientation="portrait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B30520-7899-4993-B7C0-ECEFE21961BE}">
  <dimension ref="A1:L52"/>
  <sheetViews>
    <sheetView tabSelected="1" zoomScaleNormal="100" workbookViewId="0">
      <selection activeCell="Q17" sqref="Q17"/>
    </sheetView>
  </sheetViews>
  <sheetFormatPr defaultRowHeight="15" x14ac:dyDescent="0.25"/>
  <cols>
    <col min="1" max="1" width="8.7109375" customWidth="1"/>
    <col min="2" max="2" width="15.7109375" customWidth="1"/>
    <col min="3" max="7" width="5.7109375" customWidth="1"/>
    <col min="8" max="11" width="9.140625" hidden="1" customWidth="1"/>
    <col min="12" max="12" width="10.7109375" style="35" customWidth="1"/>
  </cols>
  <sheetData>
    <row r="1" spans="1:12" s="22" customFormat="1" ht="24.95" customHeight="1" x14ac:dyDescent="0.3">
      <c r="A1" s="36" t="s">
        <v>15</v>
      </c>
      <c r="B1" s="43" t="s">
        <v>16</v>
      </c>
      <c r="C1" s="37" t="s">
        <v>7</v>
      </c>
      <c r="D1" s="37" t="s">
        <v>1</v>
      </c>
      <c r="E1" s="37" t="s">
        <v>2</v>
      </c>
      <c r="F1" s="37" t="s">
        <v>11</v>
      </c>
      <c r="G1" s="37" t="s">
        <v>20</v>
      </c>
      <c r="H1" s="37" t="s">
        <v>21</v>
      </c>
      <c r="I1" s="37" t="s">
        <v>22</v>
      </c>
      <c r="J1" s="37" t="s">
        <v>23</v>
      </c>
      <c r="K1" s="37" t="s">
        <v>24</v>
      </c>
      <c r="L1" s="37" t="s">
        <v>19</v>
      </c>
    </row>
    <row r="2" spans="1:12" x14ac:dyDescent="0.25">
      <c r="A2" s="23">
        <v>1</v>
      </c>
      <c r="B2" s="24" t="str" cm="1">
        <f t="array" ref="B2:L52">_xlfn.SORTBY(Chmps!A4:K54,Chmps!K4:K54,-1)</f>
        <v>Franco</v>
      </c>
      <c r="C2" s="24">
        <v>3</v>
      </c>
      <c r="D2" s="24">
        <v>3</v>
      </c>
      <c r="E2" s="24">
        <v>0</v>
      </c>
      <c r="F2" s="24">
        <v>0</v>
      </c>
      <c r="G2" s="24">
        <v>5</v>
      </c>
      <c r="H2" s="24">
        <v>3</v>
      </c>
      <c r="I2" s="24">
        <v>9</v>
      </c>
      <c r="J2" s="24">
        <v>0</v>
      </c>
      <c r="K2" s="24">
        <v>0</v>
      </c>
      <c r="L2" s="34">
        <v>12</v>
      </c>
    </row>
    <row r="3" spans="1:12" x14ac:dyDescent="0.25">
      <c r="A3" s="23">
        <f t="shared" ref="A3:A52" si="0">A2+1</f>
        <v>2</v>
      </c>
      <c r="B3" s="24" t="str">
        <v>Andrea</v>
      </c>
      <c r="C3" s="24">
        <v>3</v>
      </c>
      <c r="D3" s="24">
        <v>2</v>
      </c>
      <c r="E3" s="24">
        <v>0</v>
      </c>
      <c r="F3" s="24">
        <v>1</v>
      </c>
      <c r="G3" s="24">
        <v>1</v>
      </c>
      <c r="H3" s="24">
        <v>3</v>
      </c>
      <c r="I3" s="24">
        <v>6</v>
      </c>
      <c r="J3" s="24">
        <v>0</v>
      </c>
      <c r="K3" s="24">
        <v>0</v>
      </c>
      <c r="L3" s="34">
        <v>9</v>
      </c>
    </row>
    <row r="4" spans="1:12" x14ac:dyDescent="0.25">
      <c r="A4" s="23">
        <f t="shared" si="0"/>
        <v>3</v>
      </c>
      <c r="B4" s="24" t="str">
        <v>Andrei</v>
      </c>
      <c r="C4" s="24">
        <v>3</v>
      </c>
      <c r="D4" s="24">
        <v>2</v>
      </c>
      <c r="E4" s="24">
        <v>0</v>
      </c>
      <c r="F4" s="24">
        <v>1</v>
      </c>
      <c r="G4" s="24">
        <v>2</v>
      </c>
      <c r="H4" s="24">
        <v>3</v>
      </c>
      <c r="I4" s="24">
        <v>6</v>
      </c>
      <c r="J4" s="24">
        <v>0</v>
      </c>
      <c r="K4" s="24">
        <v>0</v>
      </c>
      <c r="L4" s="34">
        <v>9</v>
      </c>
    </row>
    <row r="5" spans="1:12" x14ac:dyDescent="0.25">
      <c r="A5" s="23">
        <f t="shared" si="0"/>
        <v>4</v>
      </c>
      <c r="B5" s="24" t="str">
        <v>Ernesto</v>
      </c>
      <c r="C5" s="24">
        <v>3</v>
      </c>
      <c r="D5" s="24">
        <v>2</v>
      </c>
      <c r="E5" s="24">
        <v>0</v>
      </c>
      <c r="F5" s="24">
        <v>1</v>
      </c>
      <c r="G5" s="24">
        <v>0</v>
      </c>
      <c r="H5" s="24">
        <v>3</v>
      </c>
      <c r="I5" s="24">
        <v>6</v>
      </c>
      <c r="J5" s="24">
        <v>0</v>
      </c>
      <c r="K5" s="24">
        <v>0</v>
      </c>
      <c r="L5" s="34">
        <v>9</v>
      </c>
    </row>
    <row r="6" spans="1:12" x14ac:dyDescent="0.25">
      <c r="A6" s="23">
        <f t="shared" si="0"/>
        <v>5</v>
      </c>
      <c r="B6" s="24" t="str">
        <v>Gabriele</v>
      </c>
      <c r="C6" s="24">
        <v>3</v>
      </c>
      <c r="D6" s="24">
        <v>2</v>
      </c>
      <c r="E6" s="24">
        <v>0</v>
      </c>
      <c r="F6" s="24">
        <v>1</v>
      </c>
      <c r="G6" s="24">
        <v>1</v>
      </c>
      <c r="H6" s="24">
        <v>3</v>
      </c>
      <c r="I6" s="24">
        <v>6</v>
      </c>
      <c r="J6" s="24">
        <v>0</v>
      </c>
      <c r="K6" s="24">
        <v>0</v>
      </c>
      <c r="L6" s="34">
        <v>9</v>
      </c>
    </row>
    <row r="7" spans="1:12" x14ac:dyDescent="0.25">
      <c r="A7" s="23">
        <f t="shared" si="0"/>
        <v>6</v>
      </c>
      <c r="B7" s="24" t="str">
        <v>Pasta</v>
      </c>
      <c r="C7" s="24">
        <v>3</v>
      </c>
      <c r="D7" s="24">
        <v>2</v>
      </c>
      <c r="E7" s="24">
        <v>0</v>
      </c>
      <c r="F7" s="24">
        <v>1</v>
      </c>
      <c r="G7" s="24">
        <v>0</v>
      </c>
      <c r="H7" s="24">
        <v>3</v>
      </c>
      <c r="I7" s="24">
        <v>6</v>
      </c>
      <c r="J7" s="24">
        <v>0</v>
      </c>
      <c r="K7" s="24">
        <v>0</v>
      </c>
      <c r="L7" s="34">
        <v>9</v>
      </c>
    </row>
    <row r="8" spans="1:12" x14ac:dyDescent="0.25">
      <c r="A8" s="23">
        <f t="shared" si="0"/>
        <v>7</v>
      </c>
      <c r="B8" s="24" t="str">
        <v>Manuel</v>
      </c>
      <c r="C8" s="24">
        <v>2</v>
      </c>
      <c r="D8" s="24">
        <v>2</v>
      </c>
      <c r="E8" s="24">
        <v>0</v>
      </c>
      <c r="F8" s="24">
        <v>0</v>
      </c>
      <c r="G8" s="24">
        <v>0</v>
      </c>
      <c r="H8" s="24">
        <v>2</v>
      </c>
      <c r="I8" s="24">
        <v>6</v>
      </c>
      <c r="J8" s="24">
        <v>0</v>
      </c>
      <c r="K8" s="24">
        <v>0</v>
      </c>
      <c r="L8" s="34">
        <v>8</v>
      </c>
    </row>
    <row r="9" spans="1:12" x14ac:dyDescent="0.25">
      <c r="A9" s="23">
        <f t="shared" si="0"/>
        <v>8</v>
      </c>
      <c r="B9" s="24" t="str">
        <v>Giorgio</v>
      </c>
      <c r="C9" s="24">
        <v>3</v>
      </c>
      <c r="D9" s="24">
        <v>1</v>
      </c>
      <c r="E9" s="24">
        <v>0</v>
      </c>
      <c r="F9" s="24">
        <v>2</v>
      </c>
      <c r="G9" s="24">
        <v>2</v>
      </c>
      <c r="H9" s="24">
        <v>3</v>
      </c>
      <c r="I9" s="24">
        <v>3</v>
      </c>
      <c r="J9" s="24">
        <v>0</v>
      </c>
      <c r="K9" s="24">
        <v>0</v>
      </c>
      <c r="L9" s="34">
        <v>6</v>
      </c>
    </row>
    <row r="10" spans="1:12" x14ac:dyDescent="0.25">
      <c r="A10" s="23">
        <f t="shared" si="0"/>
        <v>9</v>
      </c>
      <c r="B10" s="24" t="str">
        <v>Metin</v>
      </c>
      <c r="C10" s="24">
        <v>3</v>
      </c>
      <c r="D10" s="24">
        <v>1</v>
      </c>
      <c r="E10" s="24">
        <v>0</v>
      </c>
      <c r="F10" s="24">
        <v>2</v>
      </c>
      <c r="G10" s="24">
        <v>0</v>
      </c>
      <c r="H10" s="24">
        <v>3</v>
      </c>
      <c r="I10" s="24">
        <v>3</v>
      </c>
      <c r="J10" s="24">
        <v>0</v>
      </c>
      <c r="K10" s="24">
        <v>0</v>
      </c>
      <c r="L10" s="34">
        <v>6</v>
      </c>
    </row>
    <row r="11" spans="1:12" x14ac:dyDescent="0.25">
      <c r="A11" s="23">
        <f t="shared" si="0"/>
        <v>10</v>
      </c>
      <c r="B11" s="24" t="str">
        <v>AleVolpe</v>
      </c>
      <c r="C11" s="24">
        <v>2</v>
      </c>
      <c r="D11" s="24">
        <v>1</v>
      </c>
      <c r="E11" s="24">
        <v>0</v>
      </c>
      <c r="F11" s="24">
        <v>1</v>
      </c>
      <c r="G11" s="24">
        <v>0</v>
      </c>
      <c r="H11" s="24">
        <v>2</v>
      </c>
      <c r="I11" s="24">
        <v>3</v>
      </c>
      <c r="J11" s="24">
        <v>0</v>
      </c>
      <c r="K11" s="24">
        <v>0</v>
      </c>
      <c r="L11" s="34">
        <v>5</v>
      </c>
    </row>
    <row r="12" spans="1:12" x14ac:dyDescent="0.25">
      <c r="A12" s="23">
        <f t="shared" si="0"/>
        <v>11</v>
      </c>
      <c r="B12" s="24" t="str">
        <v>Danilo</v>
      </c>
      <c r="C12" s="24">
        <v>2</v>
      </c>
      <c r="D12" s="24">
        <v>1</v>
      </c>
      <c r="E12" s="24">
        <v>0</v>
      </c>
      <c r="F12" s="24">
        <v>1</v>
      </c>
      <c r="G12" s="24">
        <v>1</v>
      </c>
      <c r="H12" s="24">
        <v>2</v>
      </c>
      <c r="I12" s="24">
        <v>3</v>
      </c>
      <c r="J12" s="24">
        <v>0</v>
      </c>
      <c r="K12" s="24">
        <v>0</v>
      </c>
      <c r="L12" s="34">
        <v>5</v>
      </c>
    </row>
    <row r="13" spans="1:12" x14ac:dyDescent="0.25">
      <c r="A13" s="23">
        <f t="shared" si="0"/>
        <v>12</v>
      </c>
      <c r="B13" s="24" t="str">
        <v>Vietina</v>
      </c>
      <c r="C13" s="24">
        <v>2</v>
      </c>
      <c r="D13" s="24">
        <v>1</v>
      </c>
      <c r="E13" s="24">
        <v>0</v>
      </c>
      <c r="F13" s="24">
        <v>1</v>
      </c>
      <c r="G13" s="24">
        <v>2</v>
      </c>
      <c r="H13" s="24">
        <v>2</v>
      </c>
      <c r="I13" s="24">
        <v>3</v>
      </c>
      <c r="J13" s="24">
        <v>0</v>
      </c>
      <c r="K13" s="24">
        <v>0</v>
      </c>
      <c r="L13" s="34">
        <v>5</v>
      </c>
    </row>
    <row r="14" spans="1:12" x14ac:dyDescent="0.25">
      <c r="A14" s="23">
        <f t="shared" si="0"/>
        <v>13</v>
      </c>
      <c r="B14" s="24" t="str">
        <v>Blenti</v>
      </c>
      <c r="C14" s="24">
        <v>1</v>
      </c>
      <c r="D14" s="24">
        <v>1</v>
      </c>
      <c r="E14" s="24">
        <v>0</v>
      </c>
      <c r="F14" s="24">
        <v>0</v>
      </c>
      <c r="G14" s="24">
        <v>1</v>
      </c>
      <c r="H14" s="24">
        <v>1</v>
      </c>
      <c r="I14" s="24">
        <v>3</v>
      </c>
      <c r="J14" s="24">
        <v>0</v>
      </c>
      <c r="K14" s="24">
        <v>0</v>
      </c>
      <c r="L14" s="34">
        <v>4</v>
      </c>
    </row>
    <row r="15" spans="1:12" x14ac:dyDescent="0.25">
      <c r="A15" s="23">
        <f t="shared" si="0"/>
        <v>14</v>
      </c>
      <c r="B15" s="24" t="str">
        <v>Gerti</v>
      </c>
      <c r="C15" s="24">
        <v>1</v>
      </c>
      <c r="D15" s="24">
        <v>1</v>
      </c>
      <c r="E15" s="24">
        <v>0</v>
      </c>
      <c r="F15" s="24">
        <v>0</v>
      </c>
      <c r="G15" s="24">
        <v>0</v>
      </c>
      <c r="H15" s="24">
        <v>1</v>
      </c>
      <c r="I15" s="24">
        <v>3</v>
      </c>
      <c r="J15" s="24">
        <v>0</v>
      </c>
      <c r="K15" s="24">
        <v>0</v>
      </c>
      <c r="L15" s="34">
        <v>4</v>
      </c>
    </row>
    <row r="16" spans="1:12" x14ac:dyDescent="0.25">
      <c r="A16" s="23">
        <f t="shared" si="0"/>
        <v>15</v>
      </c>
      <c r="B16" s="24" t="str">
        <v>Scardino</v>
      </c>
      <c r="C16" s="24">
        <v>1</v>
      </c>
      <c r="D16" s="24">
        <v>1</v>
      </c>
      <c r="E16" s="24">
        <v>0</v>
      </c>
      <c r="F16" s="24">
        <v>0</v>
      </c>
      <c r="G16" s="24">
        <v>1</v>
      </c>
      <c r="H16" s="24">
        <v>1</v>
      </c>
      <c r="I16" s="24">
        <v>3</v>
      </c>
      <c r="J16" s="24">
        <v>0</v>
      </c>
      <c r="K16" s="24">
        <v>0</v>
      </c>
      <c r="L16" s="34">
        <v>4</v>
      </c>
    </row>
    <row r="17" spans="1:12" x14ac:dyDescent="0.25">
      <c r="A17" s="23">
        <f t="shared" si="0"/>
        <v>16</v>
      </c>
      <c r="B17" s="24" t="str">
        <v>Yannik</v>
      </c>
      <c r="C17" s="24">
        <v>1</v>
      </c>
      <c r="D17" s="24">
        <v>1</v>
      </c>
      <c r="E17" s="24">
        <v>0</v>
      </c>
      <c r="F17" s="24">
        <v>0</v>
      </c>
      <c r="G17" s="24">
        <v>1</v>
      </c>
      <c r="H17" s="24">
        <v>1</v>
      </c>
      <c r="I17" s="24">
        <v>3</v>
      </c>
      <c r="J17" s="24">
        <v>0</v>
      </c>
      <c r="K17" s="24">
        <v>0</v>
      </c>
      <c r="L17" s="34">
        <v>4</v>
      </c>
    </row>
    <row r="18" spans="1:12" x14ac:dyDescent="0.25">
      <c r="A18" s="23">
        <f t="shared" si="0"/>
        <v>17</v>
      </c>
      <c r="B18" s="24" t="str">
        <v>Piccolo</v>
      </c>
      <c r="C18" s="24">
        <v>3</v>
      </c>
      <c r="D18" s="24">
        <v>0</v>
      </c>
      <c r="E18" s="24">
        <v>0</v>
      </c>
      <c r="F18" s="24">
        <v>3</v>
      </c>
      <c r="G18" s="24">
        <v>0</v>
      </c>
      <c r="H18" s="24">
        <v>3</v>
      </c>
      <c r="I18" s="24">
        <v>0</v>
      </c>
      <c r="J18" s="24">
        <v>0</v>
      </c>
      <c r="K18" s="24">
        <v>0</v>
      </c>
      <c r="L18" s="34">
        <v>3</v>
      </c>
    </row>
    <row r="19" spans="1:12" x14ac:dyDescent="0.25">
      <c r="A19" s="23">
        <f t="shared" si="0"/>
        <v>18</v>
      </c>
      <c r="B19" s="24" t="str">
        <v>Extracom1</v>
      </c>
      <c r="C19" s="24">
        <v>2</v>
      </c>
      <c r="D19" s="24">
        <v>0</v>
      </c>
      <c r="E19" s="24">
        <v>0</v>
      </c>
      <c r="F19" s="24">
        <v>2</v>
      </c>
      <c r="G19" s="24">
        <v>3</v>
      </c>
      <c r="H19" s="24">
        <v>2</v>
      </c>
      <c r="I19" s="24">
        <v>0</v>
      </c>
      <c r="J19" s="24">
        <v>0</v>
      </c>
      <c r="K19" s="24">
        <v>0</v>
      </c>
      <c r="L19" s="34">
        <v>2</v>
      </c>
    </row>
    <row r="20" spans="1:12" x14ac:dyDescent="0.25">
      <c r="A20" s="23">
        <f t="shared" si="0"/>
        <v>19</v>
      </c>
      <c r="B20" s="24" t="str">
        <v>Michele</v>
      </c>
      <c r="C20" s="24">
        <v>2</v>
      </c>
      <c r="D20" s="24">
        <v>0</v>
      </c>
      <c r="E20" s="24">
        <v>0</v>
      </c>
      <c r="F20" s="24">
        <v>2</v>
      </c>
      <c r="G20" s="24">
        <v>0</v>
      </c>
      <c r="H20" s="24">
        <v>2</v>
      </c>
      <c r="I20" s="24">
        <v>0</v>
      </c>
      <c r="J20" s="24">
        <v>0</v>
      </c>
      <c r="K20" s="24">
        <v>0</v>
      </c>
      <c r="L20" s="34">
        <v>2</v>
      </c>
    </row>
    <row r="21" spans="1:12" x14ac:dyDescent="0.25">
      <c r="A21" s="23">
        <f t="shared" si="0"/>
        <v>20</v>
      </c>
      <c r="B21" s="24" t="str">
        <v>Rossi</v>
      </c>
      <c r="C21" s="24">
        <v>2</v>
      </c>
      <c r="D21" s="24">
        <v>0</v>
      </c>
      <c r="E21" s="24">
        <v>0</v>
      </c>
      <c r="F21" s="24">
        <v>2</v>
      </c>
      <c r="G21" s="24">
        <v>2</v>
      </c>
      <c r="H21" s="24">
        <v>2</v>
      </c>
      <c r="I21" s="24">
        <v>0</v>
      </c>
      <c r="J21" s="24">
        <v>0</v>
      </c>
      <c r="K21" s="24">
        <v>0</v>
      </c>
      <c r="L21" s="34">
        <v>2</v>
      </c>
    </row>
    <row r="22" spans="1:12" x14ac:dyDescent="0.25">
      <c r="A22" s="23">
        <f t="shared" si="0"/>
        <v>21</v>
      </c>
      <c r="B22" s="24" t="str">
        <v>Extracom2</v>
      </c>
      <c r="C22" s="24">
        <v>1</v>
      </c>
      <c r="D22" s="24">
        <v>0</v>
      </c>
      <c r="E22" s="24">
        <v>0</v>
      </c>
      <c r="F22" s="24">
        <v>1</v>
      </c>
      <c r="G22" s="24">
        <v>1</v>
      </c>
      <c r="H22" s="24">
        <v>1</v>
      </c>
      <c r="I22" s="24">
        <v>0</v>
      </c>
      <c r="J22" s="24">
        <v>0</v>
      </c>
      <c r="K22" s="24">
        <v>0</v>
      </c>
      <c r="L22" s="34">
        <v>1</v>
      </c>
    </row>
    <row r="23" spans="1:12" x14ac:dyDescent="0.25">
      <c r="A23" s="23">
        <f t="shared" si="0"/>
        <v>22</v>
      </c>
      <c r="B23" s="24" t="str">
        <v>Extracom3</v>
      </c>
      <c r="C23" s="24">
        <v>1</v>
      </c>
      <c r="D23" s="24">
        <v>0</v>
      </c>
      <c r="E23" s="24">
        <v>0</v>
      </c>
      <c r="F23" s="24">
        <v>1</v>
      </c>
      <c r="G23" s="24">
        <v>0</v>
      </c>
      <c r="H23" s="24">
        <v>1</v>
      </c>
      <c r="I23" s="24">
        <v>0</v>
      </c>
      <c r="J23" s="24">
        <v>0</v>
      </c>
      <c r="K23" s="24">
        <v>0</v>
      </c>
      <c r="L23" s="34">
        <v>1</v>
      </c>
    </row>
    <row r="24" spans="1:12" x14ac:dyDescent="0.25">
      <c r="A24" s="23">
        <f t="shared" si="0"/>
        <v>23</v>
      </c>
      <c r="B24" s="24" t="str">
        <v>Max (P)</v>
      </c>
      <c r="C24" s="24">
        <v>1</v>
      </c>
      <c r="D24" s="24">
        <v>0</v>
      </c>
      <c r="E24" s="24">
        <v>0</v>
      </c>
      <c r="F24" s="24">
        <v>1</v>
      </c>
      <c r="G24" s="24">
        <v>0</v>
      </c>
      <c r="H24" s="24">
        <v>1</v>
      </c>
      <c r="I24" s="24">
        <v>0</v>
      </c>
      <c r="J24" s="24">
        <v>0</v>
      </c>
      <c r="K24" s="24">
        <v>0</v>
      </c>
      <c r="L24" s="34">
        <v>1</v>
      </c>
    </row>
    <row r="25" spans="1:12" x14ac:dyDescent="0.25">
      <c r="A25" s="23">
        <f t="shared" si="0"/>
        <v>24</v>
      </c>
      <c r="B25" s="24" t="str">
        <v>Alex</v>
      </c>
      <c r="C25" s="24">
        <v>0</v>
      </c>
      <c r="D25" s="24">
        <v>0</v>
      </c>
      <c r="E25" s="24">
        <v>0</v>
      </c>
      <c r="F25" s="24">
        <v>0</v>
      </c>
      <c r="G25" s="24">
        <v>0</v>
      </c>
      <c r="H25" s="24">
        <v>0</v>
      </c>
      <c r="I25" s="24">
        <v>0</v>
      </c>
      <c r="J25" s="24">
        <v>0</v>
      </c>
      <c r="K25" s="24">
        <v>0</v>
      </c>
      <c r="L25" s="34">
        <v>0</v>
      </c>
    </row>
    <row r="26" spans="1:12" x14ac:dyDescent="0.25">
      <c r="A26" s="23">
        <f t="shared" si="0"/>
        <v>25</v>
      </c>
      <c r="B26" s="24" t="str">
        <v>BordoniA.</v>
      </c>
      <c r="C26" s="24">
        <v>0</v>
      </c>
      <c r="D26" s="24">
        <v>0</v>
      </c>
      <c r="E26" s="24">
        <v>0</v>
      </c>
      <c r="F26" s="24">
        <v>0</v>
      </c>
      <c r="G26" s="24">
        <v>0</v>
      </c>
      <c r="H26" s="24">
        <v>0</v>
      </c>
      <c r="I26" s="24">
        <v>0</v>
      </c>
      <c r="J26" s="24">
        <v>0</v>
      </c>
      <c r="K26" s="24">
        <v>0</v>
      </c>
      <c r="L26" s="34">
        <v>0</v>
      </c>
    </row>
    <row r="27" spans="1:12" x14ac:dyDescent="0.25">
      <c r="A27" s="23">
        <f t="shared" si="0"/>
        <v>26</v>
      </c>
      <c r="B27" s="24" t="str">
        <v>BordoniM.</v>
      </c>
      <c r="C27" s="24">
        <v>0</v>
      </c>
      <c r="D27" s="24">
        <v>0</v>
      </c>
      <c r="E27" s="24">
        <v>0</v>
      </c>
      <c r="F27" s="24">
        <v>0</v>
      </c>
      <c r="G27" s="24">
        <v>0</v>
      </c>
      <c r="H27" s="24">
        <v>0</v>
      </c>
      <c r="I27" s="24">
        <v>0</v>
      </c>
      <c r="J27" s="24">
        <v>0</v>
      </c>
      <c r="K27" s="24">
        <v>0</v>
      </c>
      <c r="L27" s="34">
        <v>0</v>
      </c>
    </row>
    <row r="28" spans="1:12" x14ac:dyDescent="0.25">
      <c r="A28" s="23">
        <f t="shared" si="0"/>
        <v>27</v>
      </c>
      <c r="B28" s="24" t="str">
        <v>Bossi</v>
      </c>
      <c r="C28" s="24">
        <v>0</v>
      </c>
      <c r="D28" s="24">
        <v>0</v>
      </c>
      <c r="E28" s="24">
        <v>0</v>
      </c>
      <c r="F28" s="24">
        <v>0</v>
      </c>
      <c r="G28" s="24">
        <v>0</v>
      </c>
      <c r="H28" s="24">
        <v>0</v>
      </c>
      <c r="I28" s="24">
        <v>0</v>
      </c>
      <c r="J28" s="24">
        <v>0</v>
      </c>
      <c r="K28" s="24">
        <v>0</v>
      </c>
      <c r="L28" s="34">
        <v>0</v>
      </c>
    </row>
    <row r="29" spans="1:12" x14ac:dyDescent="0.25">
      <c r="A29" s="23">
        <f t="shared" si="0"/>
        <v>28</v>
      </c>
      <c r="B29" s="24" t="str">
        <v>DarioFelo</v>
      </c>
      <c r="C29" s="24">
        <v>0</v>
      </c>
      <c r="D29" s="24">
        <v>0</v>
      </c>
      <c r="E29" s="24">
        <v>0</v>
      </c>
      <c r="F29" s="24">
        <v>0</v>
      </c>
      <c r="G29" s="24">
        <v>0</v>
      </c>
      <c r="H29" s="24">
        <v>0</v>
      </c>
      <c r="I29" s="24">
        <v>0</v>
      </c>
      <c r="J29" s="24">
        <v>0</v>
      </c>
      <c r="K29" s="24">
        <v>0</v>
      </c>
      <c r="L29" s="34">
        <v>0</v>
      </c>
    </row>
    <row r="30" spans="1:12" x14ac:dyDescent="0.25">
      <c r="A30" s="23">
        <f t="shared" si="0"/>
        <v>29</v>
      </c>
      <c r="B30" s="24" t="str">
        <v>Francesco</v>
      </c>
      <c r="C30" s="24">
        <v>0</v>
      </c>
      <c r="D30" s="24">
        <v>0</v>
      </c>
      <c r="E30" s="24">
        <v>0</v>
      </c>
      <c r="F30" s="24">
        <v>0</v>
      </c>
      <c r="G30" s="24">
        <v>0</v>
      </c>
      <c r="H30" s="24">
        <v>0</v>
      </c>
      <c r="I30" s="24">
        <v>0</v>
      </c>
      <c r="J30" s="24">
        <v>0</v>
      </c>
      <c r="K30" s="24">
        <v>0</v>
      </c>
      <c r="L30" s="34">
        <v>0</v>
      </c>
    </row>
    <row r="31" spans="1:12" x14ac:dyDescent="0.25">
      <c r="A31" s="23">
        <f t="shared" si="0"/>
        <v>30</v>
      </c>
      <c r="B31" s="24" t="str">
        <v>MatteoM</v>
      </c>
      <c r="C31" s="24">
        <v>0</v>
      </c>
      <c r="D31" s="24">
        <v>0</v>
      </c>
      <c r="E31" s="24">
        <v>0</v>
      </c>
      <c r="F31" s="24">
        <v>0</v>
      </c>
      <c r="G31" s="24">
        <v>0</v>
      </c>
      <c r="H31" s="24">
        <v>0</v>
      </c>
      <c r="I31" s="24">
        <v>0</v>
      </c>
      <c r="J31" s="24">
        <v>0</v>
      </c>
      <c r="K31" s="24">
        <v>0</v>
      </c>
      <c r="L31" s="34">
        <v>0</v>
      </c>
    </row>
    <row r="32" spans="1:12" x14ac:dyDescent="0.25">
      <c r="A32" s="23">
        <f t="shared" si="0"/>
        <v>31</v>
      </c>
      <c r="B32" s="24" t="str">
        <v>Max11</v>
      </c>
      <c r="C32" s="24">
        <v>0</v>
      </c>
      <c r="D32" s="24">
        <v>0</v>
      </c>
      <c r="E32" s="24">
        <v>0</v>
      </c>
      <c r="F32" s="24">
        <v>0</v>
      </c>
      <c r="G32" s="24">
        <v>0</v>
      </c>
      <c r="H32" s="24">
        <v>0</v>
      </c>
      <c r="I32" s="24">
        <v>0</v>
      </c>
      <c r="J32" s="24">
        <v>0</v>
      </c>
      <c r="K32" s="24">
        <v>0</v>
      </c>
      <c r="L32" s="34">
        <v>0</v>
      </c>
    </row>
    <row r="33" spans="1:12" x14ac:dyDescent="0.25">
      <c r="A33" s="23">
        <f t="shared" si="0"/>
        <v>32</v>
      </c>
      <c r="B33" s="24" t="str">
        <v>Michele (P)</v>
      </c>
      <c r="C33" s="24">
        <v>0</v>
      </c>
      <c r="D33" s="24">
        <v>0</v>
      </c>
      <c r="E33" s="24">
        <v>0</v>
      </c>
      <c r="F33" s="24">
        <v>0</v>
      </c>
      <c r="G33" s="24">
        <v>0</v>
      </c>
      <c r="H33" s="24">
        <v>0</v>
      </c>
      <c r="I33" s="24">
        <v>0</v>
      </c>
      <c r="J33" s="24">
        <v>0</v>
      </c>
      <c r="K33" s="24">
        <v>0</v>
      </c>
      <c r="L33" s="34">
        <v>0</v>
      </c>
    </row>
    <row r="34" spans="1:12" x14ac:dyDescent="0.25">
      <c r="A34" s="23">
        <f t="shared" si="0"/>
        <v>33</v>
      </c>
      <c r="B34" s="24" t="str">
        <v>Niko</v>
      </c>
      <c r="C34" s="24">
        <v>0</v>
      </c>
      <c r="D34" s="24">
        <v>0</v>
      </c>
      <c r="E34" s="24">
        <v>0</v>
      </c>
      <c r="F34" s="24">
        <v>0</v>
      </c>
      <c r="G34" s="24">
        <v>0</v>
      </c>
      <c r="H34" s="24">
        <v>0</v>
      </c>
      <c r="I34" s="24">
        <v>0</v>
      </c>
      <c r="J34" s="24">
        <v>0</v>
      </c>
      <c r="K34" s="24">
        <v>0</v>
      </c>
      <c r="L34" s="34">
        <v>0</v>
      </c>
    </row>
    <row r="35" spans="1:12" x14ac:dyDescent="0.25">
      <c r="A35" s="23">
        <f t="shared" si="0"/>
        <v>34</v>
      </c>
      <c r="B35" s="24" t="str">
        <v>Pier</v>
      </c>
      <c r="C35" s="24">
        <v>0</v>
      </c>
      <c r="D35" s="24">
        <v>0</v>
      </c>
      <c r="E35" s="24">
        <v>0</v>
      </c>
      <c r="F35" s="24">
        <v>0</v>
      </c>
      <c r="G35" s="24">
        <v>0</v>
      </c>
      <c r="H35" s="24">
        <v>0</v>
      </c>
      <c r="I35" s="24">
        <v>0</v>
      </c>
      <c r="J35" s="24">
        <v>0</v>
      </c>
      <c r="K35" s="24">
        <v>0</v>
      </c>
      <c r="L35" s="34">
        <v>0</v>
      </c>
    </row>
    <row r="36" spans="1:12" x14ac:dyDescent="0.25">
      <c r="A36" s="23">
        <f t="shared" si="0"/>
        <v>35</v>
      </c>
      <c r="B36" s="24" t="str">
        <v>Pizzato</v>
      </c>
      <c r="C36" s="24">
        <v>0</v>
      </c>
      <c r="D36" s="24">
        <v>0</v>
      </c>
      <c r="E36" s="24">
        <v>0</v>
      </c>
      <c r="F36" s="24">
        <v>0</v>
      </c>
      <c r="G36" s="24">
        <v>0</v>
      </c>
      <c r="H36" s="24">
        <v>0</v>
      </c>
      <c r="I36" s="24">
        <v>0</v>
      </c>
      <c r="J36" s="24">
        <v>0</v>
      </c>
      <c r="K36" s="24">
        <v>0</v>
      </c>
      <c r="L36" s="34">
        <v>0</v>
      </c>
    </row>
    <row r="37" spans="1:12" x14ac:dyDescent="0.25">
      <c r="A37" s="23">
        <f t="shared" si="0"/>
        <v>36</v>
      </c>
      <c r="B37" s="24" t="str">
        <v>Sassi</v>
      </c>
      <c r="C37" s="24">
        <v>0</v>
      </c>
      <c r="D37" s="24">
        <v>0</v>
      </c>
      <c r="E37" s="24">
        <v>0</v>
      </c>
      <c r="F37" s="24">
        <v>0</v>
      </c>
      <c r="G37" s="24">
        <v>0</v>
      </c>
      <c r="H37" s="24">
        <v>0</v>
      </c>
      <c r="I37" s="24">
        <v>0</v>
      </c>
      <c r="J37" s="24">
        <v>0</v>
      </c>
      <c r="K37" s="24">
        <v>0</v>
      </c>
      <c r="L37" s="34">
        <v>0</v>
      </c>
    </row>
    <row r="38" spans="1:12" x14ac:dyDescent="0.25">
      <c r="A38" s="23">
        <f t="shared" si="0"/>
        <v>37</v>
      </c>
      <c r="B38" s="24" t="str">
        <v>Simone</v>
      </c>
      <c r="C38" s="24">
        <v>0</v>
      </c>
      <c r="D38" s="24">
        <v>0</v>
      </c>
      <c r="E38" s="24">
        <v>0</v>
      </c>
      <c r="F38" s="24">
        <v>0</v>
      </c>
      <c r="G38" s="24">
        <v>0</v>
      </c>
      <c r="H38" s="24">
        <v>0</v>
      </c>
      <c r="I38" s="24">
        <v>0</v>
      </c>
      <c r="J38" s="24">
        <v>0</v>
      </c>
      <c r="K38" s="24">
        <v>0</v>
      </c>
      <c r="L38" s="34">
        <v>0</v>
      </c>
    </row>
    <row r="39" spans="1:12" x14ac:dyDescent="0.25">
      <c r="A39" s="23">
        <f t="shared" si="0"/>
        <v>38</v>
      </c>
      <c r="B39" s="24" t="str">
        <v>Tino</v>
      </c>
      <c r="C39" s="24">
        <v>0</v>
      </c>
      <c r="D39" s="24">
        <v>0</v>
      </c>
      <c r="E39" s="24">
        <v>0</v>
      </c>
      <c r="F39" s="24">
        <v>0</v>
      </c>
      <c r="G39" s="24">
        <v>0</v>
      </c>
      <c r="H39" s="24">
        <v>0</v>
      </c>
      <c r="I39" s="24">
        <v>0</v>
      </c>
      <c r="J39" s="24">
        <v>0</v>
      </c>
      <c r="K39" s="24">
        <v>0</v>
      </c>
      <c r="L39" s="34">
        <v>0</v>
      </c>
    </row>
    <row r="40" spans="1:12" x14ac:dyDescent="0.25">
      <c r="A40" s="23">
        <f t="shared" si="0"/>
        <v>39</v>
      </c>
      <c r="B40" s="24" t="str">
        <v>Zef</v>
      </c>
      <c r="C40" s="24">
        <v>0</v>
      </c>
      <c r="D40" s="24">
        <v>0</v>
      </c>
      <c r="E40" s="24">
        <v>0</v>
      </c>
      <c r="F40" s="24">
        <v>0</v>
      </c>
      <c r="G40" s="24">
        <v>0</v>
      </c>
      <c r="H40" s="24">
        <v>0</v>
      </c>
      <c r="I40" s="24">
        <v>0</v>
      </c>
      <c r="J40" s="24">
        <v>0</v>
      </c>
      <c r="K40" s="24">
        <v>0</v>
      </c>
      <c r="L40" s="34">
        <v>0</v>
      </c>
    </row>
    <row r="41" spans="1:12" x14ac:dyDescent="0.25">
      <c r="A41" s="23">
        <f t="shared" si="0"/>
        <v>40</v>
      </c>
      <c r="B41" s="24" t="str">
        <v>ZZ40</v>
      </c>
      <c r="C41" s="24">
        <v>0</v>
      </c>
      <c r="D41" s="24">
        <v>0</v>
      </c>
      <c r="E41" s="24">
        <v>0</v>
      </c>
      <c r="F41" s="24">
        <v>0</v>
      </c>
      <c r="G41" s="24">
        <v>0</v>
      </c>
      <c r="H41" s="24">
        <v>0</v>
      </c>
      <c r="I41" s="24">
        <v>0</v>
      </c>
      <c r="J41" s="24">
        <v>0</v>
      </c>
      <c r="K41" s="24">
        <v>0</v>
      </c>
      <c r="L41" s="34">
        <v>0</v>
      </c>
    </row>
    <row r="42" spans="1:12" x14ac:dyDescent="0.25">
      <c r="A42" s="23">
        <f t="shared" si="0"/>
        <v>41</v>
      </c>
      <c r="B42" s="24" t="str">
        <v>ZZ41</v>
      </c>
      <c r="C42" s="24">
        <v>0</v>
      </c>
      <c r="D42" s="24">
        <v>0</v>
      </c>
      <c r="E42" s="24">
        <v>0</v>
      </c>
      <c r="F42" s="24">
        <v>0</v>
      </c>
      <c r="G42" s="24">
        <v>0</v>
      </c>
      <c r="H42" s="24">
        <v>0</v>
      </c>
      <c r="I42" s="24">
        <v>0</v>
      </c>
      <c r="J42" s="24">
        <v>0</v>
      </c>
      <c r="K42" s="24">
        <v>0</v>
      </c>
      <c r="L42" s="34">
        <v>0</v>
      </c>
    </row>
    <row r="43" spans="1:12" x14ac:dyDescent="0.25">
      <c r="A43" s="23">
        <f t="shared" si="0"/>
        <v>42</v>
      </c>
      <c r="B43" t="str">
        <v>ZZ42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 s="35">
        <v>0</v>
      </c>
    </row>
    <row r="44" spans="1:12" x14ac:dyDescent="0.25">
      <c r="A44" s="23">
        <f t="shared" si="0"/>
        <v>43</v>
      </c>
      <c r="B44" t="str">
        <v>ZZ43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 s="35">
        <v>0</v>
      </c>
    </row>
    <row r="45" spans="1:12" x14ac:dyDescent="0.25">
      <c r="A45" s="23">
        <f t="shared" si="0"/>
        <v>44</v>
      </c>
      <c r="B45" t="str">
        <v>ZZ44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 s="35">
        <v>0</v>
      </c>
    </row>
    <row r="46" spans="1:12" x14ac:dyDescent="0.25">
      <c r="A46" s="23">
        <f t="shared" si="0"/>
        <v>45</v>
      </c>
      <c r="B46" t="str">
        <v>ZZ45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 s="35">
        <v>0</v>
      </c>
    </row>
    <row r="47" spans="1:12" x14ac:dyDescent="0.25">
      <c r="A47" s="23">
        <f t="shared" si="0"/>
        <v>46</v>
      </c>
      <c r="B47" t="str">
        <v>ZZ46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 s="35">
        <v>0</v>
      </c>
    </row>
    <row r="48" spans="1:12" x14ac:dyDescent="0.25">
      <c r="A48" s="23">
        <f t="shared" si="0"/>
        <v>47</v>
      </c>
      <c r="B48" t="str">
        <v>ZZ47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 s="35">
        <v>0</v>
      </c>
    </row>
    <row r="49" spans="1:12" x14ac:dyDescent="0.25">
      <c r="A49" s="23">
        <f t="shared" si="0"/>
        <v>48</v>
      </c>
      <c r="B49" t="str">
        <v>ZZ48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 s="35">
        <v>0</v>
      </c>
    </row>
    <row r="50" spans="1:12" x14ac:dyDescent="0.25">
      <c r="A50" s="23">
        <f t="shared" si="0"/>
        <v>49</v>
      </c>
      <c r="B50" t="str">
        <v>ZZ49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 s="35">
        <v>0</v>
      </c>
    </row>
    <row r="51" spans="1:12" x14ac:dyDescent="0.25">
      <c r="A51" s="23">
        <f t="shared" si="0"/>
        <v>50</v>
      </c>
      <c r="B51" t="str">
        <v>ZZ50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 s="35">
        <v>0</v>
      </c>
    </row>
    <row r="52" spans="1:12" x14ac:dyDescent="0.25">
      <c r="A52" s="23">
        <f t="shared" si="0"/>
        <v>51</v>
      </c>
      <c r="B52" t="str">
        <v>(vuoto)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 s="35">
        <v>0</v>
      </c>
    </row>
  </sheetData>
  <pageMargins left="0.7" right="0.7" top="0.75" bottom="0.75" header="0.3" footer="0.3"/>
  <pageSetup paperSize="9" orientation="portrait" verticalDpi="0" r:id="rId1"/>
  <headerFooter>
    <oddHeader>&amp;C&amp;D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EA1330-4C3B-4760-9F34-C4A3130C8716}">
  <dimension ref="A1:O52"/>
  <sheetViews>
    <sheetView zoomScaleNormal="100" workbookViewId="0">
      <selection activeCell="G11" sqref="G11"/>
    </sheetView>
  </sheetViews>
  <sheetFormatPr defaultRowHeight="15" x14ac:dyDescent="0.25"/>
  <cols>
    <col min="1" max="1" width="8.7109375" customWidth="1"/>
    <col min="2" max="2" width="15.7109375" customWidth="1"/>
    <col min="3" max="3" width="10.7109375" customWidth="1"/>
    <col min="4" max="4" width="9.140625" customWidth="1"/>
    <col min="5" max="5" width="8.7109375" customWidth="1"/>
    <col min="6" max="6" width="9.140625" style="16" customWidth="1"/>
    <col min="8" max="8" width="8.7109375" customWidth="1"/>
    <col min="9" max="9" width="9.140625" customWidth="1"/>
    <col min="10" max="10" width="15.7109375" style="4" customWidth="1"/>
    <col min="11" max="13" width="9.140625" customWidth="1"/>
    <col min="14" max="14" width="10.7109375" style="16" customWidth="1"/>
    <col min="15" max="15" width="10.7109375" customWidth="1"/>
  </cols>
  <sheetData>
    <row r="1" spans="1:15" s="41" customFormat="1" ht="24.95" customHeight="1" x14ac:dyDescent="0.3">
      <c r="A1" s="38" t="s">
        <v>15</v>
      </c>
      <c r="B1" s="44" t="s">
        <v>16</v>
      </c>
      <c r="C1" s="40" t="s">
        <v>18</v>
      </c>
      <c r="D1" s="40"/>
      <c r="E1" s="40" t="s">
        <v>7</v>
      </c>
      <c r="F1" s="64" t="s">
        <v>14</v>
      </c>
      <c r="H1" s="38" t="s">
        <v>15</v>
      </c>
      <c r="I1" s="38" t="s">
        <v>14</v>
      </c>
      <c r="J1" s="39" t="s">
        <v>16</v>
      </c>
      <c r="K1" s="38" t="s">
        <v>18</v>
      </c>
      <c r="L1" s="38"/>
      <c r="M1" s="38" t="s">
        <v>17</v>
      </c>
      <c r="N1" s="42" t="s">
        <v>14</v>
      </c>
      <c r="O1" s="42" t="s">
        <v>31</v>
      </c>
    </row>
    <row r="2" spans="1:15" x14ac:dyDescent="0.25">
      <c r="A2" s="28">
        <v>1</v>
      </c>
      <c r="B2" s="29" t="str" cm="1">
        <f t="array" ref="B2:F52">_xlfn.SORTBY(Score!A4:E54,Score!B4:B54,-1)</f>
        <v>Franco</v>
      </c>
      <c r="C2" s="29">
        <v>5</v>
      </c>
      <c r="D2" s="29">
        <v>0</v>
      </c>
      <c r="E2" s="29">
        <v>3</v>
      </c>
      <c r="F2" s="65">
        <v>1.6666666666666667</v>
      </c>
      <c r="H2" s="28">
        <v>1</v>
      </c>
      <c r="I2" s="29"/>
      <c r="J2" s="32" t="str" cm="1">
        <f t="array" ref="J2:N52">_xlfn.SORTBY(Score!A4:E54,Score!E4:E54,-1)</f>
        <v>Franco</v>
      </c>
      <c r="K2" s="28">
        <v>5</v>
      </c>
      <c r="L2" s="28">
        <v>0</v>
      </c>
      <c r="M2" s="28">
        <v>3</v>
      </c>
      <c r="N2" s="33">
        <v>1.6666666666666667</v>
      </c>
      <c r="O2" s="25">
        <f t="shared" ref="O2:O52" si="0">M2</f>
        <v>3</v>
      </c>
    </row>
    <row r="3" spans="1:15" x14ac:dyDescent="0.25">
      <c r="A3" s="28">
        <f t="shared" ref="A3:A52" si="1">A2+1</f>
        <v>2</v>
      </c>
      <c r="B3" s="29" t="str">
        <v>Extracom1</v>
      </c>
      <c r="C3" s="29">
        <v>3</v>
      </c>
      <c r="D3" s="29">
        <v>0</v>
      </c>
      <c r="E3" s="29">
        <v>2</v>
      </c>
      <c r="F3" s="65">
        <v>1.5</v>
      </c>
      <c r="H3" s="28">
        <f t="shared" ref="H3:H52" si="2">H2+1</f>
        <v>2</v>
      </c>
      <c r="I3" s="29"/>
      <c r="J3" s="32" t="str">
        <v>Extracom1</v>
      </c>
      <c r="K3" s="28">
        <v>3</v>
      </c>
      <c r="L3" s="28">
        <v>0</v>
      </c>
      <c r="M3" s="28">
        <v>2</v>
      </c>
      <c r="N3" s="33">
        <v>1.5</v>
      </c>
      <c r="O3" s="25">
        <f t="shared" si="0"/>
        <v>2</v>
      </c>
    </row>
    <row r="4" spans="1:15" x14ac:dyDescent="0.25">
      <c r="A4" s="28">
        <f t="shared" si="1"/>
        <v>3</v>
      </c>
      <c r="B4" s="29" t="str">
        <v>Andrei</v>
      </c>
      <c r="C4" s="29">
        <v>2</v>
      </c>
      <c r="D4" s="29">
        <v>0</v>
      </c>
      <c r="E4" s="29">
        <v>3</v>
      </c>
      <c r="F4" s="65">
        <v>0.66666666666666663</v>
      </c>
      <c r="H4" s="28">
        <f t="shared" si="2"/>
        <v>3</v>
      </c>
      <c r="I4" s="29"/>
      <c r="J4" s="32" t="str">
        <v>Blenti</v>
      </c>
      <c r="K4" s="28">
        <v>1</v>
      </c>
      <c r="L4" s="28">
        <v>9</v>
      </c>
      <c r="M4" s="28">
        <v>1</v>
      </c>
      <c r="N4" s="33">
        <v>1</v>
      </c>
      <c r="O4" s="25">
        <f t="shared" si="0"/>
        <v>1</v>
      </c>
    </row>
    <row r="5" spans="1:15" x14ac:dyDescent="0.25">
      <c r="A5" s="28">
        <f t="shared" si="1"/>
        <v>4</v>
      </c>
      <c r="B5" s="29" t="str">
        <v>Giorgio</v>
      </c>
      <c r="C5" s="29">
        <v>2</v>
      </c>
      <c r="D5" s="29">
        <v>0</v>
      </c>
      <c r="E5" s="29">
        <v>3</v>
      </c>
      <c r="F5" s="65">
        <v>0.66666666666666663</v>
      </c>
      <c r="H5" s="28">
        <f t="shared" si="2"/>
        <v>4</v>
      </c>
      <c r="I5" s="29"/>
      <c r="J5" s="32" t="str">
        <v>Extracom2</v>
      </c>
      <c r="K5" s="28">
        <v>1</v>
      </c>
      <c r="L5" s="28">
        <v>0</v>
      </c>
      <c r="M5" s="28">
        <v>1</v>
      </c>
      <c r="N5" s="33">
        <v>1</v>
      </c>
      <c r="O5" s="25">
        <f t="shared" si="0"/>
        <v>1</v>
      </c>
    </row>
    <row r="6" spans="1:15" x14ac:dyDescent="0.25">
      <c r="A6" s="28">
        <f t="shared" si="1"/>
        <v>5</v>
      </c>
      <c r="B6" s="29" t="str">
        <v>Rossi</v>
      </c>
      <c r="C6" s="29">
        <v>2</v>
      </c>
      <c r="D6" s="29">
        <v>0</v>
      </c>
      <c r="E6" s="29">
        <v>2</v>
      </c>
      <c r="F6" s="65">
        <v>1</v>
      </c>
      <c r="H6" s="28">
        <f t="shared" si="2"/>
        <v>5</v>
      </c>
      <c r="I6" s="29"/>
      <c r="J6" s="32" t="str">
        <v>Rossi</v>
      </c>
      <c r="K6" s="28">
        <v>2</v>
      </c>
      <c r="L6" s="28">
        <v>0</v>
      </c>
      <c r="M6" s="28">
        <v>2</v>
      </c>
      <c r="N6" s="33">
        <v>1</v>
      </c>
      <c r="O6" s="25">
        <f t="shared" si="0"/>
        <v>2</v>
      </c>
    </row>
    <row r="7" spans="1:15" x14ac:dyDescent="0.25">
      <c r="A7" s="28">
        <f t="shared" si="1"/>
        <v>6</v>
      </c>
      <c r="B7" s="29" t="str">
        <v>Vietina</v>
      </c>
      <c r="C7" s="29">
        <v>2</v>
      </c>
      <c r="D7" s="29">
        <v>0</v>
      </c>
      <c r="E7" s="29">
        <v>2</v>
      </c>
      <c r="F7" s="65">
        <v>1</v>
      </c>
      <c r="H7" s="28">
        <f t="shared" si="2"/>
        <v>6</v>
      </c>
      <c r="I7" s="29"/>
      <c r="J7" s="32" t="str">
        <v>Scardino</v>
      </c>
      <c r="K7" s="28">
        <v>1</v>
      </c>
      <c r="L7" s="28">
        <v>0</v>
      </c>
      <c r="M7" s="28">
        <v>1</v>
      </c>
      <c r="N7" s="33">
        <v>1</v>
      </c>
      <c r="O7" s="25">
        <f t="shared" si="0"/>
        <v>1</v>
      </c>
    </row>
    <row r="8" spans="1:15" x14ac:dyDescent="0.25">
      <c r="A8" s="28">
        <f t="shared" si="1"/>
        <v>7</v>
      </c>
      <c r="B8" s="29" t="str">
        <v>Andrea</v>
      </c>
      <c r="C8" s="29">
        <v>1</v>
      </c>
      <c r="D8" s="29">
        <v>0</v>
      </c>
      <c r="E8" s="29">
        <v>3</v>
      </c>
      <c r="F8" s="65">
        <v>0.33333333333333331</v>
      </c>
      <c r="H8" s="28">
        <f t="shared" si="2"/>
        <v>7</v>
      </c>
      <c r="I8" s="29"/>
      <c r="J8" s="32" t="str">
        <v>Vietina</v>
      </c>
      <c r="K8" s="28">
        <v>2</v>
      </c>
      <c r="L8" s="28">
        <v>0</v>
      </c>
      <c r="M8" s="28">
        <v>2</v>
      </c>
      <c r="N8" s="33">
        <v>1</v>
      </c>
      <c r="O8" s="25">
        <f t="shared" si="0"/>
        <v>2</v>
      </c>
    </row>
    <row r="9" spans="1:15" x14ac:dyDescent="0.25">
      <c r="A9" s="28">
        <f t="shared" si="1"/>
        <v>8</v>
      </c>
      <c r="B9" s="29" t="str">
        <v>Blenti</v>
      </c>
      <c r="C9" s="29">
        <v>1</v>
      </c>
      <c r="D9" s="29">
        <v>9</v>
      </c>
      <c r="E9" s="29">
        <v>1</v>
      </c>
      <c r="F9" s="65">
        <v>1</v>
      </c>
      <c r="H9" s="28">
        <f t="shared" si="2"/>
        <v>8</v>
      </c>
      <c r="I9" s="29"/>
      <c r="J9" s="32" t="str">
        <v>Yannik</v>
      </c>
      <c r="K9" s="28">
        <v>1</v>
      </c>
      <c r="L9" s="28">
        <v>0</v>
      </c>
      <c r="M9" s="28">
        <v>1</v>
      </c>
      <c r="N9" s="33">
        <v>1</v>
      </c>
      <c r="O9" s="25">
        <f t="shared" si="0"/>
        <v>1</v>
      </c>
    </row>
    <row r="10" spans="1:15" x14ac:dyDescent="0.25">
      <c r="A10" s="28">
        <f t="shared" si="1"/>
        <v>9</v>
      </c>
      <c r="B10" s="29" t="str">
        <v>Danilo</v>
      </c>
      <c r="C10" s="29">
        <v>1</v>
      </c>
      <c r="D10" s="29">
        <v>0</v>
      </c>
      <c r="E10" s="29">
        <v>2</v>
      </c>
      <c r="F10" s="65">
        <v>0.5</v>
      </c>
      <c r="H10" s="28">
        <f t="shared" si="2"/>
        <v>9</v>
      </c>
      <c r="I10" s="29"/>
      <c r="J10" s="32" t="str">
        <v>Andrei</v>
      </c>
      <c r="K10" s="28">
        <v>2</v>
      </c>
      <c r="L10" s="28">
        <v>0</v>
      </c>
      <c r="M10" s="28">
        <v>3</v>
      </c>
      <c r="N10" s="33">
        <v>0.66666666666666663</v>
      </c>
      <c r="O10" s="25">
        <f t="shared" si="0"/>
        <v>3</v>
      </c>
    </row>
    <row r="11" spans="1:15" x14ac:dyDescent="0.25">
      <c r="A11" s="28">
        <f t="shared" si="1"/>
        <v>10</v>
      </c>
      <c r="B11" s="29" t="str">
        <v>Extracom2</v>
      </c>
      <c r="C11" s="29">
        <v>1</v>
      </c>
      <c r="D11" s="29">
        <v>0</v>
      </c>
      <c r="E11" s="29">
        <v>1</v>
      </c>
      <c r="F11" s="65">
        <v>1</v>
      </c>
      <c r="H11" s="28">
        <f t="shared" si="2"/>
        <v>10</v>
      </c>
      <c r="I11" s="29"/>
      <c r="J11" s="32" t="str">
        <v>Giorgio</v>
      </c>
      <c r="K11" s="28">
        <v>2</v>
      </c>
      <c r="L11" s="28">
        <v>0</v>
      </c>
      <c r="M11" s="28">
        <v>3</v>
      </c>
      <c r="N11" s="33">
        <v>0.66666666666666663</v>
      </c>
      <c r="O11" s="25">
        <f t="shared" si="0"/>
        <v>3</v>
      </c>
    </row>
    <row r="12" spans="1:15" x14ac:dyDescent="0.25">
      <c r="A12" s="28">
        <f t="shared" si="1"/>
        <v>11</v>
      </c>
      <c r="B12" s="29" t="str">
        <v>Gabriele</v>
      </c>
      <c r="C12" s="29">
        <v>1</v>
      </c>
      <c r="D12" s="29">
        <v>0</v>
      </c>
      <c r="E12" s="29">
        <v>3</v>
      </c>
      <c r="F12" s="65">
        <v>0.33333333333333331</v>
      </c>
      <c r="H12" s="28">
        <f t="shared" si="2"/>
        <v>11</v>
      </c>
      <c r="I12" s="29"/>
      <c r="J12" s="32" t="str">
        <v>Danilo</v>
      </c>
      <c r="K12" s="28">
        <v>1</v>
      </c>
      <c r="L12" s="28">
        <v>0</v>
      </c>
      <c r="M12" s="28">
        <v>2</v>
      </c>
      <c r="N12" s="33">
        <v>0.5</v>
      </c>
      <c r="O12" s="25">
        <f t="shared" si="0"/>
        <v>2</v>
      </c>
    </row>
    <row r="13" spans="1:15" x14ac:dyDescent="0.25">
      <c r="A13" s="28">
        <f t="shared" si="1"/>
        <v>12</v>
      </c>
      <c r="B13" s="29" t="str">
        <v>Scardino</v>
      </c>
      <c r="C13" s="29">
        <v>1</v>
      </c>
      <c r="D13" s="29">
        <v>0</v>
      </c>
      <c r="E13" s="29">
        <v>1</v>
      </c>
      <c r="F13" s="65">
        <v>1</v>
      </c>
      <c r="H13" s="28">
        <f t="shared" si="2"/>
        <v>12</v>
      </c>
      <c r="I13" s="29"/>
      <c r="J13" s="32" t="str">
        <v>Andrea</v>
      </c>
      <c r="K13" s="28">
        <v>1</v>
      </c>
      <c r="L13" s="28">
        <v>0</v>
      </c>
      <c r="M13" s="28">
        <v>3</v>
      </c>
      <c r="N13" s="33">
        <v>0.33333333333333331</v>
      </c>
      <c r="O13" s="25">
        <f t="shared" si="0"/>
        <v>3</v>
      </c>
    </row>
    <row r="14" spans="1:15" x14ac:dyDescent="0.25">
      <c r="A14" s="28">
        <f t="shared" si="1"/>
        <v>13</v>
      </c>
      <c r="B14" s="29" t="str">
        <v>Yannik</v>
      </c>
      <c r="C14" s="29">
        <v>1</v>
      </c>
      <c r="D14" s="29">
        <v>0</v>
      </c>
      <c r="E14" s="29">
        <v>1</v>
      </c>
      <c r="F14" s="65">
        <v>1</v>
      </c>
      <c r="H14" s="28">
        <f t="shared" si="2"/>
        <v>13</v>
      </c>
      <c r="I14" s="29"/>
      <c r="J14" s="32" t="str">
        <v>Gabriele</v>
      </c>
      <c r="K14" s="28">
        <v>1</v>
      </c>
      <c r="L14" s="28">
        <v>0</v>
      </c>
      <c r="M14" s="28">
        <v>3</v>
      </c>
      <c r="N14" s="33">
        <v>0.33333333333333331</v>
      </c>
      <c r="O14" s="25">
        <f t="shared" si="0"/>
        <v>3</v>
      </c>
    </row>
    <row r="15" spans="1:15" x14ac:dyDescent="0.25">
      <c r="A15" s="28">
        <f t="shared" si="1"/>
        <v>14</v>
      </c>
      <c r="B15" s="29" t="str">
        <v>AleVolpe</v>
      </c>
      <c r="C15" s="29">
        <v>0</v>
      </c>
      <c r="D15" s="29">
        <v>6</v>
      </c>
      <c r="E15" s="29">
        <v>2</v>
      </c>
      <c r="F15" s="65">
        <v>0</v>
      </c>
      <c r="H15" s="28">
        <f t="shared" si="2"/>
        <v>14</v>
      </c>
      <c r="I15" s="29"/>
      <c r="J15" s="32" t="str">
        <v>AleVolpe</v>
      </c>
      <c r="K15" s="28">
        <v>0</v>
      </c>
      <c r="L15" s="28">
        <v>6</v>
      </c>
      <c r="M15" s="28">
        <v>2</v>
      </c>
      <c r="N15" s="33">
        <v>0</v>
      </c>
      <c r="O15" s="25">
        <f t="shared" si="0"/>
        <v>2</v>
      </c>
    </row>
    <row r="16" spans="1:15" x14ac:dyDescent="0.25">
      <c r="A16" s="28">
        <f t="shared" si="1"/>
        <v>15</v>
      </c>
      <c r="B16" s="29" t="str">
        <v>Alex</v>
      </c>
      <c r="C16" s="29">
        <v>0</v>
      </c>
      <c r="D16" s="29">
        <v>0</v>
      </c>
      <c r="E16" s="29">
        <v>0</v>
      </c>
      <c r="F16" s="65">
        <v>0</v>
      </c>
      <c r="H16" s="28">
        <f t="shared" si="2"/>
        <v>15</v>
      </c>
      <c r="I16" s="29"/>
      <c r="J16" s="32" t="str">
        <v>Alex</v>
      </c>
      <c r="K16" s="28">
        <v>0</v>
      </c>
      <c r="L16" s="28">
        <v>0</v>
      </c>
      <c r="M16" s="28">
        <v>0</v>
      </c>
      <c r="N16" s="33">
        <v>0</v>
      </c>
      <c r="O16" s="25">
        <f t="shared" si="0"/>
        <v>0</v>
      </c>
    </row>
    <row r="17" spans="1:15" x14ac:dyDescent="0.25">
      <c r="A17" s="28">
        <f t="shared" si="1"/>
        <v>16</v>
      </c>
      <c r="B17" s="29" t="str">
        <v>BordoniA.</v>
      </c>
      <c r="C17" s="29">
        <v>0</v>
      </c>
      <c r="D17" s="29">
        <v>0</v>
      </c>
      <c r="E17" s="29">
        <v>0</v>
      </c>
      <c r="F17" s="65">
        <v>0</v>
      </c>
      <c r="H17" s="28">
        <f t="shared" si="2"/>
        <v>16</v>
      </c>
      <c r="I17" s="29"/>
      <c r="J17" s="32" t="str">
        <v>BordoniA.</v>
      </c>
      <c r="K17" s="28">
        <v>0</v>
      </c>
      <c r="L17" s="28">
        <v>0</v>
      </c>
      <c r="M17" s="28">
        <v>0</v>
      </c>
      <c r="N17" s="33">
        <v>0</v>
      </c>
      <c r="O17" s="25">
        <f t="shared" si="0"/>
        <v>0</v>
      </c>
    </row>
    <row r="18" spans="1:15" x14ac:dyDescent="0.25">
      <c r="A18" s="28">
        <f t="shared" si="1"/>
        <v>17</v>
      </c>
      <c r="B18" s="29" t="str">
        <v>BordoniM.</v>
      </c>
      <c r="C18" s="29">
        <v>0</v>
      </c>
      <c r="D18" s="29">
        <v>0</v>
      </c>
      <c r="E18" s="29">
        <v>0</v>
      </c>
      <c r="F18" s="65">
        <v>0</v>
      </c>
      <c r="H18" s="28">
        <f t="shared" si="2"/>
        <v>17</v>
      </c>
      <c r="I18" s="29"/>
      <c r="J18" s="32" t="str">
        <v>BordoniM.</v>
      </c>
      <c r="K18" s="28">
        <v>0</v>
      </c>
      <c r="L18" s="28">
        <v>0</v>
      </c>
      <c r="M18" s="28">
        <v>0</v>
      </c>
      <c r="N18" s="33">
        <v>0</v>
      </c>
      <c r="O18" s="25">
        <f t="shared" si="0"/>
        <v>0</v>
      </c>
    </row>
    <row r="19" spans="1:15" x14ac:dyDescent="0.25">
      <c r="A19" s="28">
        <f t="shared" si="1"/>
        <v>18</v>
      </c>
      <c r="B19" s="29" t="str">
        <v>Bossi</v>
      </c>
      <c r="C19" s="29">
        <v>0</v>
      </c>
      <c r="D19" s="29">
        <v>0</v>
      </c>
      <c r="E19" s="29">
        <v>0</v>
      </c>
      <c r="F19" s="65">
        <v>0</v>
      </c>
      <c r="H19" s="28">
        <f t="shared" si="2"/>
        <v>18</v>
      </c>
      <c r="I19" s="29"/>
      <c r="J19" s="32" t="str">
        <v>Bossi</v>
      </c>
      <c r="K19" s="28">
        <v>0</v>
      </c>
      <c r="L19" s="28">
        <v>0</v>
      </c>
      <c r="M19" s="28">
        <v>0</v>
      </c>
      <c r="N19" s="33">
        <v>0</v>
      </c>
      <c r="O19" s="25">
        <f t="shared" si="0"/>
        <v>0</v>
      </c>
    </row>
    <row r="20" spans="1:15" x14ac:dyDescent="0.25">
      <c r="A20" s="28">
        <f t="shared" si="1"/>
        <v>19</v>
      </c>
      <c r="B20" s="29" t="str">
        <v>DarioFelo</v>
      </c>
      <c r="C20" s="29">
        <v>0</v>
      </c>
      <c r="D20" s="29">
        <v>0</v>
      </c>
      <c r="E20" s="29">
        <v>0</v>
      </c>
      <c r="F20" s="65">
        <v>0</v>
      </c>
      <c r="H20" s="28">
        <f t="shared" si="2"/>
        <v>19</v>
      </c>
      <c r="I20" s="29"/>
      <c r="J20" s="32" t="str">
        <v>DarioFelo</v>
      </c>
      <c r="K20" s="28">
        <v>0</v>
      </c>
      <c r="L20" s="28">
        <v>0</v>
      </c>
      <c r="M20" s="28">
        <v>0</v>
      </c>
      <c r="N20" s="33">
        <v>0</v>
      </c>
      <c r="O20" s="25">
        <f t="shared" si="0"/>
        <v>0</v>
      </c>
    </row>
    <row r="21" spans="1:15" x14ac:dyDescent="0.25">
      <c r="A21" s="28">
        <f t="shared" si="1"/>
        <v>20</v>
      </c>
      <c r="B21" s="29" t="str">
        <v>Ernesto</v>
      </c>
      <c r="C21" s="29">
        <v>0</v>
      </c>
      <c r="D21" s="29">
        <v>0</v>
      </c>
      <c r="E21" s="29">
        <v>3</v>
      </c>
      <c r="F21" s="65">
        <v>0</v>
      </c>
      <c r="H21" s="28">
        <f t="shared" si="2"/>
        <v>20</v>
      </c>
      <c r="I21" s="29"/>
      <c r="J21" s="32" t="str">
        <v>Ernesto</v>
      </c>
      <c r="K21" s="28">
        <v>0</v>
      </c>
      <c r="L21" s="28">
        <v>0</v>
      </c>
      <c r="M21" s="28">
        <v>3</v>
      </c>
      <c r="N21" s="33">
        <v>0</v>
      </c>
      <c r="O21" s="25">
        <f t="shared" si="0"/>
        <v>3</v>
      </c>
    </row>
    <row r="22" spans="1:15" x14ac:dyDescent="0.25">
      <c r="A22" s="28">
        <f t="shared" si="1"/>
        <v>21</v>
      </c>
      <c r="B22" s="29" t="str">
        <v>Extracom3</v>
      </c>
      <c r="C22" s="29">
        <v>0</v>
      </c>
      <c r="D22" s="29">
        <v>0</v>
      </c>
      <c r="E22" s="29">
        <v>1</v>
      </c>
      <c r="F22" s="65">
        <v>0</v>
      </c>
      <c r="H22" s="28">
        <f t="shared" si="2"/>
        <v>21</v>
      </c>
      <c r="I22" s="29"/>
      <c r="J22" s="32" t="str">
        <v>Extracom3</v>
      </c>
      <c r="K22" s="28">
        <v>0</v>
      </c>
      <c r="L22" s="28">
        <v>0</v>
      </c>
      <c r="M22" s="28">
        <v>1</v>
      </c>
      <c r="N22" s="33">
        <v>0</v>
      </c>
      <c r="O22" s="25">
        <f t="shared" si="0"/>
        <v>1</v>
      </c>
    </row>
    <row r="23" spans="1:15" x14ac:dyDescent="0.25">
      <c r="A23" s="28">
        <f t="shared" si="1"/>
        <v>22</v>
      </c>
      <c r="B23" s="29" t="str">
        <v>Francesco</v>
      </c>
      <c r="C23" s="29">
        <v>0</v>
      </c>
      <c r="D23" s="29">
        <v>0</v>
      </c>
      <c r="E23" s="29">
        <v>0</v>
      </c>
      <c r="F23" s="65">
        <v>0</v>
      </c>
      <c r="H23" s="28">
        <f t="shared" si="2"/>
        <v>22</v>
      </c>
      <c r="I23" s="29"/>
      <c r="J23" s="32" t="str">
        <v>Francesco</v>
      </c>
      <c r="K23" s="28">
        <v>0</v>
      </c>
      <c r="L23" s="28">
        <v>0</v>
      </c>
      <c r="M23" s="28">
        <v>0</v>
      </c>
      <c r="N23" s="33">
        <v>0</v>
      </c>
      <c r="O23" s="25">
        <f t="shared" si="0"/>
        <v>0</v>
      </c>
    </row>
    <row r="24" spans="1:15" x14ac:dyDescent="0.25">
      <c r="A24" s="28">
        <f t="shared" si="1"/>
        <v>23</v>
      </c>
      <c r="B24" s="29" t="str">
        <v>Gerti</v>
      </c>
      <c r="C24" s="29">
        <v>0</v>
      </c>
      <c r="D24" s="29">
        <v>8</v>
      </c>
      <c r="E24" s="29">
        <v>1</v>
      </c>
      <c r="F24" s="65">
        <v>0</v>
      </c>
      <c r="H24" s="28">
        <f t="shared" si="2"/>
        <v>23</v>
      </c>
      <c r="I24" s="29"/>
      <c r="J24" s="32" t="str">
        <v>Gerti</v>
      </c>
      <c r="K24" s="28">
        <v>0</v>
      </c>
      <c r="L24" s="28">
        <v>8</v>
      </c>
      <c r="M24" s="28">
        <v>1</v>
      </c>
      <c r="N24" s="33">
        <v>0</v>
      </c>
      <c r="O24" s="25">
        <f t="shared" si="0"/>
        <v>1</v>
      </c>
    </row>
    <row r="25" spans="1:15" x14ac:dyDescent="0.25">
      <c r="A25" s="28">
        <f t="shared" si="1"/>
        <v>24</v>
      </c>
      <c r="B25" s="29" t="str">
        <v>Manuel</v>
      </c>
      <c r="C25" s="29">
        <v>0</v>
      </c>
      <c r="D25" s="29">
        <v>0</v>
      </c>
      <c r="E25" s="29">
        <v>2</v>
      </c>
      <c r="F25" s="65">
        <v>0</v>
      </c>
      <c r="H25" s="28">
        <f t="shared" si="2"/>
        <v>24</v>
      </c>
      <c r="I25" s="29"/>
      <c r="J25" s="32" t="str">
        <v>Manuel</v>
      </c>
      <c r="K25" s="28">
        <v>0</v>
      </c>
      <c r="L25" s="28">
        <v>0</v>
      </c>
      <c r="M25" s="28">
        <v>2</v>
      </c>
      <c r="N25" s="33">
        <v>0</v>
      </c>
      <c r="O25" s="25">
        <f t="shared" si="0"/>
        <v>2</v>
      </c>
    </row>
    <row r="26" spans="1:15" x14ac:dyDescent="0.25">
      <c r="A26" s="28">
        <f t="shared" si="1"/>
        <v>25</v>
      </c>
      <c r="B26" s="29" t="str">
        <v>MatteoM</v>
      </c>
      <c r="C26" s="29">
        <v>0</v>
      </c>
      <c r="D26" s="29">
        <v>0</v>
      </c>
      <c r="E26" s="29">
        <v>0</v>
      </c>
      <c r="F26" s="65">
        <v>0</v>
      </c>
      <c r="H26" s="28">
        <f t="shared" si="2"/>
        <v>25</v>
      </c>
      <c r="I26" s="29"/>
      <c r="J26" s="32" t="str">
        <v>MatteoM</v>
      </c>
      <c r="K26" s="28">
        <v>0</v>
      </c>
      <c r="L26" s="28">
        <v>0</v>
      </c>
      <c r="M26" s="28">
        <v>0</v>
      </c>
      <c r="N26" s="33">
        <v>0</v>
      </c>
      <c r="O26" s="25">
        <f t="shared" si="0"/>
        <v>0</v>
      </c>
    </row>
    <row r="27" spans="1:15" x14ac:dyDescent="0.25">
      <c r="A27" s="28">
        <f t="shared" si="1"/>
        <v>26</v>
      </c>
      <c r="B27" s="27" t="str">
        <v>Max (P)</v>
      </c>
      <c r="C27" s="27">
        <v>0</v>
      </c>
      <c r="D27" s="27">
        <v>0</v>
      </c>
      <c r="E27" s="27">
        <v>1</v>
      </c>
      <c r="F27" s="20">
        <v>0</v>
      </c>
      <c r="H27" s="28">
        <f t="shared" si="2"/>
        <v>26</v>
      </c>
      <c r="I27" s="27"/>
      <c r="J27" s="30" t="str">
        <v>Max (P)</v>
      </c>
      <c r="K27" s="26">
        <v>0</v>
      </c>
      <c r="L27" s="26">
        <v>0</v>
      </c>
      <c r="M27" s="26">
        <v>1</v>
      </c>
      <c r="N27" s="31">
        <v>0</v>
      </c>
      <c r="O27" s="19">
        <f t="shared" si="0"/>
        <v>1</v>
      </c>
    </row>
    <row r="28" spans="1:15" x14ac:dyDescent="0.25">
      <c r="A28" s="28">
        <f t="shared" si="1"/>
        <v>27</v>
      </c>
      <c r="B28" s="19" t="str">
        <v>Max11</v>
      </c>
      <c r="C28" s="19">
        <v>0</v>
      </c>
      <c r="D28" s="19">
        <v>0</v>
      </c>
      <c r="E28" s="19">
        <v>0</v>
      </c>
      <c r="F28" s="20">
        <v>0</v>
      </c>
      <c r="H28" s="28">
        <f t="shared" si="2"/>
        <v>27</v>
      </c>
      <c r="I28" s="19"/>
      <c r="J28" s="21" t="str">
        <v>Max11</v>
      </c>
      <c r="K28" s="18">
        <v>0</v>
      </c>
      <c r="L28" s="18">
        <v>0</v>
      </c>
      <c r="M28" s="18">
        <v>0</v>
      </c>
      <c r="N28" s="20">
        <v>0</v>
      </c>
      <c r="O28" s="19">
        <f t="shared" si="0"/>
        <v>0</v>
      </c>
    </row>
    <row r="29" spans="1:15" x14ac:dyDescent="0.25">
      <c r="A29" s="28">
        <f t="shared" si="1"/>
        <v>28</v>
      </c>
      <c r="B29" s="19" t="str">
        <v>Metin</v>
      </c>
      <c r="C29" s="19">
        <v>0</v>
      </c>
      <c r="D29" s="19">
        <v>0</v>
      </c>
      <c r="E29" s="19">
        <v>3</v>
      </c>
      <c r="F29" s="20">
        <v>0</v>
      </c>
      <c r="H29" s="28">
        <f t="shared" si="2"/>
        <v>28</v>
      </c>
      <c r="I29" s="19"/>
      <c r="J29" s="21" t="str">
        <v>Metin</v>
      </c>
      <c r="K29" s="18">
        <v>0</v>
      </c>
      <c r="L29" s="18">
        <v>0</v>
      </c>
      <c r="M29" s="18">
        <v>3</v>
      </c>
      <c r="N29" s="20">
        <v>0</v>
      </c>
      <c r="O29" s="19">
        <f t="shared" si="0"/>
        <v>3</v>
      </c>
    </row>
    <row r="30" spans="1:15" x14ac:dyDescent="0.25">
      <c r="A30" s="28">
        <f t="shared" si="1"/>
        <v>29</v>
      </c>
      <c r="B30" s="19" t="str">
        <v>Michele</v>
      </c>
      <c r="C30" s="19">
        <v>0</v>
      </c>
      <c r="D30" s="19">
        <v>0</v>
      </c>
      <c r="E30" s="19">
        <v>2</v>
      </c>
      <c r="F30" s="20">
        <v>0</v>
      </c>
      <c r="H30" s="28">
        <f t="shared" si="2"/>
        <v>29</v>
      </c>
      <c r="I30" s="19"/>
      <c r="J30" s="21" t="str">
        <v>Michele</v>
      </c>
      <c r="K30" s="18">
        <v>0</v>
      </c>
      <c r="L30" s="18">
        <v>0</v>
      </c>
      <c r="M30" s="18">
        <v>2</v>
      </c>
      <c r="N30" s="20">
        <v>0</v>
      </c>
      <c r="O30" s="19">
        <f t="shared" si="0"/>
        <v>2</v>
      </c>
    </row>
    <row r="31" spans="1:15" x14ac:dyDescent="0.25">
      <c r="A31" s="28">
        <f t="shared" si="1"/>
        <v>30</v>
      </c>
      <c r="B31" s="19" t="str">
        <v>Michele (P)</v>
      </c>
      <c r="C31" s="19">
        <v>0</v>
      </c>
      <c r="D31" s="19">
        <v>0</v>
      </c>
      <c r="E31" s="19">
        <v>0</v>
      </c>
      <c r="F31" s="20">
        <v>0</v>
      </c>
      <c r="H31" s="28">
        <f t="shared" si="2"/>
        <v>30</v>
      </c>
      <c r="I31" s="19"/>
      <c r="J31" s="21" t="str">
        <v>Michele (P)</v>
      </c>
      <c r="K31" s="18">
        <v>0</v>
      </c>
      <c r="L31" s="18">
        <v>0</v>
      </c>
      <c r="M31" s="18">
        <v>0</v>
      </c>
      <c r="N31" s="20">
        <v>0</v>
      </c>
      <c r="O31" s="19">
        <f t="shared" si="0"/>
        <v>0</v>
      </c>
    </row>
    <row r="32" spans="1:15" x14ac:dyDescent="0.25">
      <c r="A32" s="28">
        <f t="shared" si="1"/>
        <v>31</v>
      </c>
      <c r="B32" s="19" t="str">
        <v>Niko</v>
      </c>
      <c r="C32" s="19">
        <v>0</v>
      </c>
      <c r="D32" s="19">
        <v>0</v>
      </c>
      <c r="E32" s="19">
        <v>0</v>
      </c>
      <c r="F32" s="20">
        <v>0</v>
      </c>
      <c r="H32" s="28">
        <f t="shared" si="2"/>
        <v>31</v>
      </c>
      <c r="I32" s="19"/>
      <c r="J32" s="21" t="str">
        <v>Niko</v>
      </c>
      <c r="K32" s="18">
        <v>0</v>
      </c>
      <c r="L32" s="18">
        <v>0</v>
      </c>
      <c r="M32" s="18">
        <v>0</v>
      </c>
      <c r="N32" s="20">
        <v>0</v>
      </c>
      <c r="O32" s="19">
        <f t="shared" si="0"/>
        <v>0</v>
      </c>
    </row>
    <row r="33" spans="1:15" x14ac:dyDescent="0.25">
      <c r="A33" s="28">
        <f t="shared" si="1"/>
        <v>32</v>
      </c>
      <c r="B33" s="19" t="str">
        <v>Pasta</v>
      </c>
      <c r="C33" s="19">
        <v>0</v>
      </c>
      <c r="D33" s="19">
        <v>0</v>
      </c>
      <c r="E33" s="19">
        <v>3</v>
      </c>
      <c r="F33" s="20">
        <v>0</v>
      </c>
      <c r="H33" s="28">
        <f t="shared" si="2"/>
        <v>32</v>
      </c>
      <c r="I33" s="19"/>
      <c r="J33" s="21" t="str">
        <v>Pasta</v>
      </c>
      <c r="K33" s="18">
        <v>0</v>
      </c>
      <c r="L33" s="18">
        <v>0</v>
      </c>
      <c r="M33" s="18">
        <v>3</v>
      </c>
      <c r="N33" s="20">
        <v>0</v>
      </c>
      <c r="O33" s="19">
        <f t="shared" si="0"/>
        <v>3</v>
      </c>
    </row>
    <row r="34" spans="1:15" x14ac:dyDescent="0.25">
      <c r="A34" s="28">
        <f t="shared" si="1"/>
        <v>33</v>
      </c>
      <c r="B34" s="19" t="str">
        <v>Piccolo</v>
      </c>
      <c r="C34" s="19">
        <v>0</v>
      </c>
      <c r="D34" s="19">
        <v>0</v>
      </c>
      <c r="E34" s="19">
        <v>3</v>
      </c>
      <c r="F34" s="20">
        <v>0</v>
      </c>
      <c r="H34" s="28">
        <f t="shared" si="2"/>
        <v>33</v>
      </c>
      <c r="I34" s="19"/>
      <c r="J34" s="21" t="str">
        <v>Piccolo</v>
      </c>
      <c r="K34" s="18">
        <v>0</v>
      </c>
      <c r="L34" s="18">
        <v>0</v>
      </c>
      <c r="M34" s="18">
        <v>3</v>
      </c>
      <c r="N34" s="20">
        <v>0</v>
      </c>
      <c r="O34" s="19">
        <f t="shared" si="0"/>
        <v>3</v>
      </c>
    </row>
    <row r="35" spans="1:15" x14ac:dyDescent="0.25">
      <c r="A35" s="28">
        <f t="shared" si="1"/>
        <v>34</v>
      </c>
      <c r="B35" s="19" t="str">
        <v>Pier</v>
      </c>
      <c r="C35" s="19">
        <v>0</v>
      </c>
      <c r="D35" s="19">
        <v>0</v>
      </c>
      <c r="E35" s="19">
        <v>0</v>
      </c>
      <c r="F35" s="20">
        <v>0</v>
      </c>
      <c r="H35" s="28">
        <f t="shared" si="2"/>
        <v>34</v>
      </c>
      <c r="I35" s="19"/>
      <c r="J35" s="21" t="str">
        <v>Pier</v>
      </c>
      <c r="K35" s="18">
        <v>0</v>
      </c>
      <c r="L35" s="18">
        <v>0</v>
      </c>
      <c r="M35" s="18">
        <v>0</v>
      </c>
      <c r="N35" s="20">
        <v>0</v>
      </c>
      <c r="O35" s="19">
        <f t="shared" si="0"/>
        <v>0</v>
      </c>
    </row>
    <row r="36" spans="1:15" x14ac:dyDescent="0.25">
      <c r="A36" s="28">
        <f t="shared" si="1"/>
        <v>35</v>
      </c>
      <c r="B36" s="19" t="str">
        <v>Pizzato</v>
      </c>
      <c r="C36" s="19">
        <v>0</v>
      </c>
      <c r="D36" s="19">
        <v>0</v>
      </c>
      <c r="E36" s="19">
        <v>0</v>
      </c>
      <c r="F36" s="20">
        <v>0</v>
      </c>
      <c r="H36" s="28">
        <f t="shared" si="2"/>
        <v>35</v>
      </c>
      <c r="I36" s="19"/>
      <c r="J36" s="21" t="str">
        <v>Pizzato</v>
      </c>
      <c r="K36" s="18">
        <v>0</v>
      </c>
      <c r="L36" s="18">
        <v>0</v>
      </c>
      <c r="M36" s="18">
        <v>0</v>
      </c>
      <c r="N36" s="20">
        <v>0</v>
      </c>
      <c r="O36" s="19">
        <f t="shared" si="0"/>
        <v>0</v>
      </c>
    </row>
    <row r="37" spans="1:15" x14ac:dyDescent="0.25">
      <c r="A37" s="28">
        <f t="shared" si="1"/>
        <v>36</v>
      </c>
      <c r="B37" s="19" t="str">
        <v>Sassi</v>
      </c>
      <c r="C37" s="19">
        <v>0</v>
      </c>
      <c r="D37" s="19">
        <v>0</v>
      </c>
      <c r="E37" s="19">
        <v>0</v>
      </c>
      <c r="F37" s="20">
        <v>0</v>
      </c>
      <c r="H37" s="28">
        <f t="shared" si="2"/>
        <v>36</v>
      </c>
      <c r="I37" s="19"/>
      <c r="J37" s="21" t="str">
        <v>Sassi</v>
      </c>
      <c r="K37" s="18">
        <v>0</v>
      </c>
      <c r="L37" s="18">
        <v>0</v>
      </c>
      <c r="M37" s="18">
        <v>0</v>
      </c>
      <c r="N37" s="20">
        <v>0</v>
      </c>
      <c r="O37" s="19">
        <f t="shared" si="0"/>
        <v>0</v>
      </c>
    </row>
    <row r="38" spans="1:15" x14ac:dyDescent="0.25">
      <c r="A38" s="28">
        <f t="shared" si="1"/>
        <v>37</v>
      </c>
      <c r="B38" s="19" t="str">
        <v>Simone</v>
      </c>
      <c r="C38" s="19">
        <v>0</v>
      </c>
      <c r="D38" s="19">
        <v>0</v>
      </c>
      <c r="E38" s="19">
        <v>0</v>
      </c>
      <c r="F38" s="20">
        <v>0</v>
      </c>
      <c r="H38" s="28">
        <f t="shared" si="2"/>
        <v>37</v>
      </c>
      <c r="I38" s="19"/>
      <c r="J38" s="21" t="str">
        <v>Simone</v>
      </c>
      <c r="K38" s="18">
        <v>0</v>
      </c>
      <c r="L38" s="18">
        <v>0</v>
      </c>
      <c r="M38" s="18">
        <v>0</v>
      </c>
      <c r="N38" s="20">
        <v>0</v>
      </c>
      <c r="O38" s="19">
        <f t="shared" si="0"/>
        <v>0</v>
      </c>
    </row>
    <row r="39" spans="1:15" x14ac:dyDescent="0.25">
      <c r="A39" s="28">
        <f t="shared" si="1"/>
        <v>38</v>
      </c>
      <c r="B39" s="19" t="str">
        <v>Tino</v>
      </c>
      <c r="C39" s="19">
        <v>0</v>
      </c>
      <c r="D39" s="19">
        <v>0</v>
      </c>
      <c r="E39" s="19">
        <v>0</v>
      </c>
      <c r="F39" s="20">
        <v>0</v>
      </c>
      <c r="H39" s="28">
        <f t="shared" si="2"/>
        <v>38</v>
      </c>
      <c r="I39" s="19"/>
      <c r="J39" s="21" t="str">
        <v>Tino</v>
      </c>
      <c r="K39" s="18">
        <v>0</v>
      </c>
      <c r="L39" s="18">
        <v>0</v>
      </c>
      <c r="M39" s="18">
        <v>0</v>
      </c>
      <c r="N39" s="20">
        <v>0</v>
      </c>
      <c r="O39" s="19">
        <f t="shared" si="0"/>
        <v>0</v>
      </c>
    </row>
    <row r="40" spans="1:15" x14ac:dyDescent="0.25">
      <c r="A40" s="28">
        <f t="shared" si="1"/>
        <v>39</v>
      </c>
      <c r="B40" s="19" t="str">
        <v>Zef</v>
      </c>
      <c r="C40" s="19">
        <v>0</v>
      </c>
      <c r="D40" s="19">
        <v>0</v>
      </c>
      <c r="E40" s="19">
        <v>0</v>
      </c>
      <c r="F40" s="20">
        <v>0</v>
      </c>
      <c r="H40" s="28">
        <f t="shared" si="2"/>
        <v>39</v>
      </c>
      <c r="I40" s="19"/>
      <c r="J40" s="21" t="str">
        <v>Zef</v>
      </c>
      <c r="K40" s="18">
        <v>0</v>
      </c>
      <c r="L40" s="18">
        <v>0</v>
      </c>
      <c r="M40" s="18">
        <v>0</v>
      </c>
      <c r="N40" s="20">
        <v>0</v>
      </c>
      <c r="O40" s="19">
        <f t="shared" si="0"/>
        <v>0</v>
      </c>
    </row>
    <row r="41" spans="1:15" x14ac:dyDescent="0.25">
      <c r="A41" s="28">
        <f t="shared" si="1"/>
        <v>40</v>
      </c>
      <c r="B41" s="19" t="str">
        <v>ZZ40</v>
      </c>
      <c r="C41" s="19">
        <v>0</v>
      </c>
      <c r="D41" s="19">
        <v>0</v>
      </c>
      <c r="E41" s="19">
        <v>0</v>
      </c>
      <c r="F41" s="20">
        <v>0</v>
      </c>
      <c r="H41" s="28">
        <f t="shared" si="2"/>
        <v>40</v>
      </c>
      <c r="I41" s="19"/>
      <c r="J41" s="21" t="str">
        <v>ZZ40</v>
      </c>
      <c r="K41" s="18">
        <v>0</v>
      </c>
      <c r="L41" s="18">
        <v>0</v>
      </c>
      <c r="M41" s="18">
        <v>0</v>
      </c>
      <c r="N41" s="20">
        <v>0</v>
      </c>
      <c r="O41" s="19">
        <f t="shared" si="0"/>
        <v>0</v>
      </c>
    </row>
    <row r="42" spans="1:15" x14ac:dyDescent="0.25">
      <c r="A42" s="48">
        <f t="shared" si="1"/>
        <v>41</v>
      </c>
      <c r="B42" s="50" t="str">
        <v>ZZ41</v>
      </c>
      <c r="C42" s="50">
        <v>0</v>
      </c>
      <c r="D42" s="50">
        <v>0</v>
      </c>
      <c r="E42" s="50">
        <v>0</v>
      </c>
      <c r="F42" s="53">
        <v>0</v>
      </c>
      <c r="H42" s="48">
        <f t="shared" si="2"/>
        <v>41</v>
      </c>
      <c r="I42" s="50"/>
      <c r="J42" s="51" t="str">
        <v>ZZ41</v>
      </c>
      <c r="K42" s="52">
        <v>0</v>
      </c>
      <c r="L42" s="52">
        <v>0</v>
      </c>
      <c r="M42" s="52">
        <v>0</v>
      </c>
      <c r="N42" s="53">
        <v>0</v>
      </c>
      <c r="O42" s="50">
        <f t="shared" si="0"/>
        <v>0</v>
      </c>
    </row>
    <row r="43" spans="1:15" x14ac:dyDescent="0.25">
      <c r="A43" s="28">
        <f t="shared" si="1"/>
        <v>42</v>
      </c>
      <c r="B43" s="29" t="str">
        <v>ZZ42</v>
      </c>
      <c r="C43" s="29">
        <v>0</v>
      </c>
      <c r="D43" s="29">
        <v>0</v>
      </c>
      <c r="E43" s="29">
        <v>0</v>
      </c>
      <c r="F43" s="33">
        <v>0</v>
      </c>
      <c r="H43" s="28">
        <f t="shared" si="2"/>
        <v>42</v>
      </c>
      <c r="I43" s="29"/>
      <c r="J43" s="32" t="str">
        <v>ZZ42</v>
      </c>
      <c r="K43" s="28">
        <v>0</v>
      </c>
      <c r="L43" s="28">
        <v>0</v>
      </c>
      <c r="M43" s="28">
        <v>0</v>
      </c>
      <c r="N43" s="33">
        <v>0</v>
      </c>
      <c r="O43" s="29">
        <f t="shared" si="0"/>
        <v>0</v>
      </c>
    </row>
    <row r="44" spans="1:15" x14ac:dyDescent="0.25">
      <c r="A44" s="28">
        <f t="shared" si="1"/>
        <v>43</v>
      </c>
      <c r="B44" s="29" t="str">
        <v>ZZ43</v>
      </c>
      <c r="C44" s="29">
        <v>0</v>
      </c>
      <c r="D44" s="29">
        <v>0</v>
      </c>
      <c r="E44" s="29">
        <v>0</v>
      </c>
      <c r="F44" s="33">
        <v>0</v>
      </c>
      <c r="H44" s="28">
        <f t="shared" si="2"/>
        <v>43</v>
      </c>
      <c r="I44" s="29"/>
      <c r="J44" s="32" t="str">
        <v>ZZ43</v>
      </c>
      <c r="K44" s="28">
        <v>0</v>
      </c>
      <c r="L44" s="28">
        <v>0</v>
      </c>
      <c r="M44" s="28">
        <v>0</v>
      </c>
      <c r="N44" s="33">
        <v>0</v>
      </c>
      <c r="O44" s="29">
        <f t="shared" si="0"/>
        <v>0</v>
      </c>
    </row>
    <row r="45" spans="1:15" x14ac:dyDescent="0.25">
      <c r="A45" s="28">
        <f t="shared" si="1"/>
        <v>44</v>
      </c>
      <c r="B45" s="29" t="str">
        <v>ZZ44</v>
      </c>
      <c r="C45" s="29">
        <v>0</v>
      </c>
      <c r="D45" s="29">
        <v>0</v>
      </c>
      <c r="E45" s="29">
        <v>0</v>
      </c>
      <c r="F45" s="33">
        <v>0</v>
      </c>
      <c r="H45" s="28">
        <f t="shared" si="2"/>
        <v>44</v>
      </c>
      <c r="I45" s="29"/>
      <c r="J45" s="32" t="str">
        <v>ZZ44</v>
      </c>
      <c r="K45" s="28">
        <v>0</v>
      </c>
      <c r="L45" s="28">
        <v>0</v>
      </c>
      <c r="M45" s="28">
        <v>0</v>
      </c>
      <c r="N45" s="33">
        <v>0</v>
      </c>
      <c r="O45" s="29">
        <f t="shared" si="0"/>
        <v>0</v>
      </c>
    </row>
    <row r="46" spans="1:15" x14ac:dyDescent="0.25">
      <c r="A46" s="28">
        <f t="shared" si="1"/>
        <v>45</v>
      </c>
      <c r="B46" s="29" t="str">
        <v>ZZ45</v>
      </c>
      <c r="C46" s="29">
        <v>0</v>
      </c>
      <c r="D46" s="29">
        <v>0</v>
      </c>
      <c r="E46" s="29">
        <v>0</v>
      </c>
      <c r="F46" s="33">
        <v>0</v>
      </c>
      <c r="H46" s="28">
        <f t="shared" si="2"/>
        <v>45</v>
      </c>
      <c r="I46" s="29"/>
      <c r="J46" s="32" t="str">
        <v>ZZ45</v>
      </c>
      <c r="K46" s="28">
        <v>0</v>
      </c>
      <c r="L46" s="28">
        <v>0</v>
      </c>
      <c r="M46" s="28">
        <v>0</v>
      </c>
      <c r="N46" s="33">
        <v>0</v>
      </c>
      <c r="O46" s="29">
        <f t="shared" si="0"/>
        <v>0</v>
      </c>
    </row>
    <row r="47" spans="1:15" x14ac:dyDescent="0.25">
      <c r="A47" s="28">
        <f t="shared" si="1"/>
        <v>46</v>
      </c>
      <c r="B47" s="29" t="str">
        <v>ZZ46</v>
      </c>
      <c r="C47" s="29">
        <v>0</v>
      </c>
      <c r="D47" s="29">
        <v>0</v>
      </c>
      <c r="E47" s="29">
        <v>0</v>
      </c>
      <c r="F47" s="33">
        <v>0</v>
      </c>
      <c r="H47" s="28">
        <f t="shared" si="2"/>
        <v>46</v>
      </c>
      <c r="I47" s="29"/>
      <c r="J47" s="32" t="str">
        <v>ZZ46</v>
      </c>
      <c r="K47" s="28">
        <v>0</v>
      </c>
      <c r="L47" s="28">
        <v>0</v>
      </c>
      <c r="M47" s="28">
        <v>0</v>
      </c>
      <c r="N47" s="33">
        <v>0</v>
      </c>
      <c r="O47" s="29">
        <f t="shared" si="0"/>
        <v>0</v>
      </c>
    </row>
    <row r="48" spans="1:15" x14ac:dyDescent="0.25">
      <c r="A48" s="28">
        <f t="shared" si="1"/>
        <v>47</v>
      </c>
      <c r="B48" s="29" t="str">
        <v>ZZ47</v>
      </c>
      <c r="C48" s="29">
        <v>0</v>
      </c>
      <c r="D48" s="29">
        <v>0</v>
      </c>
      <c r="E48" s="29">
        <v>0</v>
      </c>
      <c r="F48" s="33">
        <v>0</v>
      </c>
      <c r="H48" s="28">
        <f t="shared" si="2"/>
        <v>47</v>
      </c>
      <c r="I48" s="29"/>
      <c r="J48" s="32" t="str">
        <v>ZZ47</v>
      </c>
      <c r="K48" s="28">
        <v>0</v>
      </c>
      <c r="L48" s="28">
        <v>0</v>
      </c>
      <c r="M48" s="28">
        <v>0</v>
      </c>
      <c r="N48" s="33">
        <v>0</v>
      </c>
      <c r="O48" s="29">
        <f t="shared" si="0"/>
        <v>0</v>
      </c>
    </row>
    <row r="49" spans="1:15" x14ac:dyDescent="0.25">
      <c r="A49" s="28">
        <f t="shared" si="1"/>
        <v>48</v>
      </c>
      <c r="B49" s="29" t="str">
        <v>ZZ48</v>
      </c>
      <c r="C49" s="29">
        <v>0</v>
      </c>
      <c r="D49" s="29">
        <v>0</v>
      </c>
      <c r="E49" s="29">
        <v>0</v>
      </c>
      <c r="F49" s="33">
        <v>0</v>
      </c>
      <c r="H49" s="28">
        <f t="shared" si="2"/>
        <v>48</v>
      </c>
      <c r="I49" s="29"/>
      <c r="J49" s="32" t="str">
        <v>ZZ48</v>
      </c>
      <c r="K49" s="28">
        <v>0</v>
      </c>
      <c r="L49" s="28">
        <v>0</v>
      </c>
      <c r="M49" s="28">
        <v>0</v>
      </c>
      <c r="N49" s="33">
        <v>0</v>
      </c>
      <c r="O49" s="29">
        <f t="shared" si="0"/>
        <v>0</v>
      </c>
    </row>
    <row r="50" spans="1:15" x14ac:dyDescent="0.25">
      <c r="A50" s="28">
        <f t="shared" si="1"/>
        <v>49</v>
      </c>
      <c r="B50" s="29" t="str">
        <v>ZZ49</v>
      </c>
      <c r="C50" s="29">
        <v>0</v>
      </c>
      <c r="D50" s="29">
        <v>0</v>
      </c>
      <c r="E50" s="29">
        <v>0</v>
      </c>
      <c r="F50" s="33">
        <v>0</v>
      </c>
      <c r="H50" s="28">
        <f t="shared" si="2"/>
        <v>49</v>
      </c>
      <c r="I50" s="29"/>
      <c r="J50" s="32" t="str">
        <v>ZZ49</v>
      </c>
      <c r="K50" s="28">
        <v>0</v>
      </c>
      <c r="L50" s="28">
        <v>0</v>
      </c>
      <c r="M50" s="28">
        <v>0</v>
      </c>
      <c r="N50" s="33">
        <v>0</v>
      </c>
      <c r="O50" s="29">
        <f t="shared" si="0"/>
        <v>0</v>
      </c>
    </row>
    <row r="51" spans="1:15" x14ac:dyDescent="0.25">
      <c r="A51" s="28">
        <f t="shared" si="1"/>
        <v>50</v>
      </c>
      <c r="B51" s="29" t="str">
        <v>ZZ50</v>
      </c>
      <c r="C51" s="29">
        <v>0</v>
      </c>
      <c r="D51" s="29">
        <v>0</v>
      </c>
      <c r="E51" s="29">
        <v>0</v>
      </c>
      <c r="F51" s="33">
        <v>0</v>
      </c>
      <c r="H51" s="28">
        <f t="shared" si="2"/>
        <v>50</v>
      </c>
      <c r="I51" s="29"/>
      <c r="J51" s="32" t="str">
        <v>ZZ50</v>
      </c>
      <c r="K51" s="28">
        <v>0</v>
      </c>
      <c r="L51" s="28">
        <v>0</v>
      </c>
      <c r="M51" s="28">
        <v>0</v>
      </c>
      <c r="N51" s="33">
        <v>0</v>
      </c>
      <c r="O51" s="29">
        <f t="shared" si="0"/>
        <v>0</v>
      </c>
    </row>
    <row r="52" spans="1:15" x14ac:dyDescent="0.25">
      <c r="A52" s="28">
        <f t="shared" si="1"/>
        <v>51</v>
      </c>
      <c r="B52" s="29" t="str">
        <v>(vuoto)</v>
      </c>
      <c r="C52" s="29">
        <v>0</v>
      </c>
      <c r="D52" s="29">
        <v>0</v>
      </c>
      <c r="E52" s="29">
        <v>0</v>
      </c>
      <c r="F52" s="33">
        <v>0</v>
      </c>
      <c r="H52" s="28">
        <f t="shared" si="2"/>
        <v>51</v>
      </c>
      <c r="I52" s="29"/>
      <c r="J52" s="32" t="str">
        <v>(vuoto)</v>
      </c>
      <c r="K52" s="28">
        <v>0</v>
      </c>
      <c r="L52" s="28">
        <v>0</v>
      </c>
      <c r="M52" s="28">
        <v>0</v>
      </c>
      <c r="N52" s="33">
        <v>0</v>
      </c>
      <c r="O52" s="29">
        <f t="shared" si="0"/>
        <v>0</v>
      </c>
    </row>
  </sheetData>
  <pageMargins left="0.25" right="0.25" top="0.75" bottom="0.75" header="0.3" footer="0.3"/>
  <pageSetup paperSize="9" orientation="portrait" verticalDpi="0" r:id="rId1"/>
  <headerFooter>
    <oddHeader>&amp;C&amp;D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938926-4ECA-45A4-9013-D171916F54ED}">
  <dimension ref="A1:L52"/>
  <sheetViews>
    <sheetView workbookViewId="0">
      <selection activeCell="E19" sqref="E19"/>
    </sheetView>
  </sheetViews>
  <sheetFormatPr defaultRowHeight="15" x14ac:dyDescent="0.25"/>
  <cols>
    <col min="2" max="2" width="15.7109375" customWidth="1"/>
    <col min="3" max="3" width="10.7109375" customWidth="1"/>
    <col min="4" max="13" width="9.140625" customWidth="1"/>
  </cols>
  <sheetData>
    <row r="1" spans="1:12" s="41" customFormat="1" ht="24.95" customHeight="1" x14ac:dyDescent="0.3">
      <c r="A1" s="38" t="s">
        <v>15</v>
      </c>
      <c r="B1" s="47" t="s">
        <v>16</v>
      </c>
      <c r="C1" s="40" t="s">
        <v>31</v>
      </c>
      <c r="D1" s="40" t="s">
        <v>18</v>
      </c>
    </row>
    <row r="2" spans="1:12" x14ac:dyDescent="0.25">
      <c r="A2" s="28">
        <v>1</v>
      </c>
      <c r="B2" s="29" t="str" cm="1">
        <f t="array" ref="B2:L52">_xlfn.SORTBY(Chmps!A4:K54,Chmps!G4:G54,-1)</f>
        <v>Andrea</v>
      </c>
      <c r="C2" s="29">
        <v>3</v>
      </c>
      <c r="D2">
        <v>2</v>
      </c>
      <c r="E2">
        <v>0</v>
      </c>
      <c r="F2">
        <v>1</v>
      </c>
      <c r="G2">
        <v>1</v>
      </c>
      <c r="H2">
        <v>3</v>
      </c>
      <c r="I2">
        <v>6</v>
      </c>
      <c r="J2">
        <v>0</v>
      </c>
      <c r="K2">
        <v>0</v>
      </c>
      <c r="L2">
        <v>9</v>
      </c>
    </row>
    <row r="3" spans="1:12" x14ac:dyDescent="0.25">
      <c r="A3" s="28">
        <f t="shared" ref="A3:A52" si="0">A2+1</f>
        <v>2</v>
      </c>
      <c r="B3" s="29" t="str">
        <v>Andrei</v>
      </c>
      <c r="C3" s="29">
        <v>3</v>
      </c>
      <c r="D3">
        <v>2</v>
      </c>
      <c r="E3">
        <v>0</v>
      </c>
      <c r="F3">
        <v>1</v>
      </c>
      <c r="G3">
        <v>2</v>
      </c>
      <c r="H3">
        <v>3</v>
      </c>
      <c r="I3">
        <v>6</v>
      </c>
      <c r="J3">
        <v>0</v>
      </c>
      <c r="K3">
        <v>0</v>
      </c>
      <c r="L3">
        <v>9</v>
      </c>
    </row>
    <row r="4" spans="1:12" x14ac:dyDescent="0.25">
      <c r="A4" s="28">
        <f t="shared" si="0"/>
        <v>3</v>
      </c>
      <c r="B4" s="29" t="str">
        <v>Ernesto</v>
      </c>
      <c r="C4" s="29">
        <v>3</v>
      </c>
      <c r="D4">
        <v>2</v>
      </c>
      <c r="E4">
        <v>0</v>
      </c>
      <c r="F4">
        <v>1</v>
      </c>
      <c r="G4">
        <v>0</v>
      </c>
      <c r="H4">
        <v>3</v>
      </c>
      <c r="I4">
        <v>6</v>
      </c>
      <c r="J4">
        <v>0</v>
      </c>
      <c r="K4">
        <v>0</v>
      </c>
      <c r="L4">
        <v>9</v>
      </c>
    </row>
    <row r="5" spans="1:12" x14ac:dyDescent="0.25">
      <c r="A5" s="28">
        <f t="shared" si="0"/>
        <v>4</v>
      </c>
      <c r="B5" s="29" t="str">
        <v>Franco</v>
      </c>
      <c r="C5" s="29">
        <v>3</v>
      </c>
      <c r="D5">
        <v>3</v>
      </c>
      <c r="E5">
        <v>0</v>
      </c>
      <c r="F5">
        <v>0</v>
      </c>
      <c r="G5">
        <v>5</v>
      </c>
      <c r="H5">
        <v>3</v>
      </c>
      <c r="I5">
        <v>9</v>
      </c>
      <c r="J5">
        <v>0</v>
      </c>
      <c r="K5">
        <v>0</v>
      </c>
      <c r="L5">
        <v>12</v>
      </c>
    </row>
    <row r="6" spans="1:12" x14ac:dyDescent="0.25">
      <c r="A6" s="28">
        <f t="shared" si="0"/>
        <v>5</v>
      </c>
      <c r="B6" s="29" t="str">
        <v>Gabriele</v>
      </c>
      <c r="C6" s="29">
        <v>3</v>
      </c>
      <c r="D6">
        <v>2</v>
      </c>
      <c r="E6">
        <v>0</v>
      </c>
      <c r="F6">
        <v>1</v>
      </c>
      <c r="G6">
        <v>1</v>
      </c>
      <c r="H6">
        <v>3</v>
      </c>
      <c r="I6">
        <v>6</v>
      </c>
      <c r="J6">
        <v>0</v>
      </c>
      <c r="K6">
        <v>0</v>
      </c>
      <c r="L6">
        <v>9</v>
      </c>
    </row>
    <row r="7" spans="1:12" x14ac:dyDescent="0.25">
      <c r="A7" s="28">
        <f t="shared" si="0"/>
        <v>6</v>
      </c>
      <c r="B7" s="29" t="str">
        <v>Giorgio</v>
      </c>
      <c r="C7" s="29">
        <v>3</v>
      </c>
      <c r="D7">
        <v>1</v>
      </c>
      <c r="E7">
        <v>0</v>
      </c>
      <c r="F7">
        <v>2</v>
      </c>
      <c r="G7">
        <v>2</v>
      </c>
      <c r="H7">
        <v>3</v>
      </c>
      <c r="I7">
        <v>3</v>
      </c>
      <c r="J7">
        <v>0</v>
      </c>
      <c r="K7">
        <v>0</v>
      </c>
      <c r="L7">
        <v>6</v>
      </c>
    </row>
    <row r="8" spans="1:12" x14ac:dyDescent="0.25">
      <c r="A8" s="28">
        <f t="shared" si="0"/>
        <v>7</v>
      </c>
      <c r="B8" s="29" t="str">
        <v>Metin</v>
      </c>
      <c r="C8" s="29">
        <v>3</v>
      </c>
      <c r="D8">
        <v>1</v>
      </c>
      <c r="E8">
        <v>0</v>
      </c>
      <c r="F8">
        <v>2</v>
      </c>
      <c r="G8">
        <v>0</v>
      </c>
      <c r="H8">
        <v>3</v>
      </c>
      <c r="I8">
        <v>3</v>
      </c>
      <c r="J8">
        <v>0</v>
      </c>
      <c r="K8">
        <v>0</v>
      </c>
      <c r="L8">
        <v>6</v>
      </c>
    </row>
    <row r="9" spans="1:12" x14ac:dyDescent="0.25">
      <c r="A9" s="28">
        <f t="shared" si="0"/>
        <v>8</v>
      </c>
      <c r="B9" s="29" t="str">
        <v>Pasta</v>
      </c>
      <c r="C9" s="29">
        <v>3</v>
      </c>
      <c r="D9">
        <v>2</v>
      </c>
      <c r="E9">
        <v>0</v>
      </c>
      <c r="F9">
        <v>1</v>
      </c>
      <c r="G9">
        <v>0</v>
      </c>
      <c r="H9">
        <v>3</v>
      </c>
      <c r="I9">
        <v>6</v>
      </c>
      <c r="J9">
        <v>0</v>
      </c>
      <c r="K9">
        <v>0</v>
      </c>
      <c r="L9">
        <v>9</v>
      </c>
    </row>
    <row r="10" spans="1:12" x14ac:dyDescent="0.25">
      <c r="A10" s="28">
        <f t="shared" si="0"/>
        <v>9</v>
      </c>
      <c r="B10" s="29" t="str">
        <v>Piccolo</v>
      </c>
      <c r="C10" s="29">
        <v>3</v>
      </c>
      <c r="D10">
        <v>0</v>
      </c>
      <c r="E10">
        <v>0</v>
      </c>
      <c r="F10">
        <v>3</v>
      </c>
      <c r="G10">
        <v>0</v>
      </c>
      <c r="H10">
        <v>3</v>
      </c>
      <c r="I10">
        <v>0</v>
      </c>
      <c r="J10">
        <v>0</v>
      </c>
      <c r="K10">
        <v>0</v>
      </c>
      <c r="L10">
        <v>3</v>
      </c>
    </row>
    <row r="11" spans="1:12" x14ac:dyDescent="0.25">
      <c r="A11" s="28">
        <f t="shared" si="0"/>
        <v>10</v>
      </c>
      <c r="B11" s="29" t="str">
        <v>AleVolpe</v>
      </c>
      <c r="C11" s="29">
        <v>2</v>
      </c>
      <c r="D11">
        <v>1</v>
      </c>
      <c r="E11">
        <v>0</v>
      </c>
      <c r="F11">
        <v>1</v>
      </c>
      <c r="G11">
        <v>0</v>
      </c>
      <c r="H11">
        <v>2</v>
      </c>
      <c r="I11">
        <v>3</v>
      </c>
      <c r="J11">
        <v>0</v>
      </c>
      <c r="K11">
        <v>0</v>
      </c>
      <c r="L11">
        <v>5</v>
      </c>
    </row>
    <row r="12" spans="1:12" x14ac:dyDescent="0.25">
      <c r="A12" s="28">
        <f t="shared" si="0"/>
        <v>11</v>
      </c>
      <c r="B12" s="29" t="str">
        <v>Danilo</v>
      </c>
      <c r="C12" s="29">
        <v>2</v>
      </c>
      <c r="D12">
        <v>1</v>
      </c>
      <c r="E12">
        <v>0</v>
      </c>
      <c r="F12">
        <v>1</v>
      </c>
      <c r="G12">
        <v>1</v>
      </c>
      <c r="H12">
        <v>2</v>
      </c>
      <c r="I12">
        <v>3</v>
      </c>
      <c r="J12">
        <v>0</v>
      </c>
      <c r="K12">
        <v>0</v>
      </c>
      <c r="L12">
        <v>5</v>
      </c>
    </row>
    <row r="13" spans="1:12" x14ac:dyDescent="0.25">
      <c r="A13" s="28">
        <f t="shared" si="0"/>
        <v>12</v>
      </c>
      <c r="B13" s="29" t="str">
        <v>Extracom1</v>
      </c>
      <c r="C13" s="29">
        <v>2</v>
      </c>
      <c r="D13">
        <v>0</v>
      </c>
      <c r="E13">
        <v>0</v>
      </c>
      <c r="F13">
        <v>2</v>
      </c>
      <c r="G13">
        <v>3</v>
      </c>
      <c r="H13">
        <v>2</v>
      </c>
      <c r="I13">
        <v>0</v>
      </c>
      <c r="J13">
        <v>0</v>
      </c>
      <c r="K13">
        <v>0</v>
      </c>
      <c r="L13">
        <v>2</v>
      </c>
    </row>
    <row r="14" spans="1:12" x14ac:dyDescent="0.25">
      <c r="A14" s="28">
        <f t="shared" si="0"/>
        <v>13</v>
      </c>
      <c r="B14" s="29" t="str">
        <v>Manuel</v>
      </c>
      <c r="C14" s="29">
        <v>2</v>
      </c>
      <c r="D14">
        <v>2</v>
      </c>
      <c r="E14">
        <v>0</v>
      </c>
      <c r="F14">
        <v>0</v>
      </c>
      <c r="G14">
        <v>0</v>
      </c>
      <c r="H14">
        <v>2</v>
      </c>
      <c r="I14">
        <v>6</v>
      </c>
      <c r="J14">
        <v>0</v>
      </c>
      <c r="K14">
        <v>0</v>
      </c>
      <c r="L14">
        <v>8</v>
      </c>
    </row>
    <row r="15" spans="1:12" x14ac:dyDescent="0.25">
      <c r="A15" s="28">
        <f t="shared" si="0"/>
        <v>14</v>
      </c>
      <c r="B15" s="29" t="str">
        <v>Michele</v>
      </c>
      <c r="C15" s="29">
        <v>2</v>
      </c>
      <c r="D15">
        <v>0</v>
      </c>
      <c r="E15">
        <v>0</v>
      </c>
      <c r="F15">
        <v>2</v>
      </c>
      <c r="G15">
        <v>0</v>
      </c>
      <c r="H15">
        <v>2</v>
      </c>
      <c r="I15">
        <v>0</v>
      </c>
      <c r="J15">
        <v>0</v>
      </c>
      <c r="K15">
        <v>0</v>
      </c>
      <c r="L15">
        <v>2</v>
      </c>
    </row>
    <row r="16" spans="1:12" x14ac:dyDescent="0.25">
      <c r="A16" s="28">
        <f t="shared" si="0"/>
        <v>15</v>
      </c>
      <c r="B16" s="29" t="str">
        <v>Rossi</v>
      </c>
      <c r="C16" s="29">
        <v>2</v>
      </c>
      <c r="D16">
        <v>0</v>
      </c>
      <c r="E16">
        <v>0</v>
      </c>
      <c r="F16">
        <v>2</v>
      </c>
      <c r="G16">
        <v>2</v>
      </c>
      <c r="H16">
        <v>2</v>
      </c>
      <c r="I16">
        <v>0</v>
      </c>
      <c r="J16">
        <v>0</v>
      </c>
      <c r="K16">
        <v>0</v>
      </c>
      <c r="L16">
        <v>2</v>
      </c>
    </row>
    <row r="17" spans="1:12" x14ac:dyDescent="0.25">
      <c r="A17" s="28">
        <f t="shared" si="0"/>
        <v>16</v>
      </c>
      <c r="B17" s="29" t="str">
        <v>Vietina</v>
      </c>
      <c r="C17" s="29">
        <v>2</v>
      </c>
      <c r="D17">
        <v>1</v>
      </c>
      <c r="E17">
        <v>0</v>
      </c>
      <c r="F17">
        <v>1</v>
      </c>
      <c r="G17">
        <v>2</v>
      </c>
      <c r="H17">
        <v>2</v>
      </c>
      <c r="I17">
        <v>3</v>
      </c>
      <c r="J17">
        <v>0</v>
      </c>
      <c r="K17">
        <v>0</v>
      </c>
      <c r="L17">
        <v>5</v>
      </c>
    </row>
    <row r="18" spans="1:12" x14ac:dyDescent="0.25">
      <c r="A18" s="28">
        <f t="shared" si="0"/>
        <v>17</v>
      </c>
      <c r="B18" s="29" t="str">
        <v>Blenti</v>
      </c>
      <c r="C18" s="29">
        <v>1</v>
      </c>
      <c r="D18">
        <v>1</v>
      </c>
      <c r="E18">
        <v>0</v>
      </c>
      <c r="F18">
        <v>0</v>
      </c>
      <c r="G18">
        <v>1</v>
      </c>
      <c r="H18">
        <v>1</v>
      </c>
      <c r="I18">
        <v>3</v>
      </c>
      <c r="J18">
        <v>0</v>
      </c>
      <c r="K18">
        <v>0</v>
      </c>
      <c r="L18">
        <v>4</v>
      </c>
    </row>
    <row r="19" spans="1:12" x14ac:dyDescent="0.25">
      <c r="A19" s="28">
        <f t="shared" si="0"/>
        <v>18</v>
      </c>
      <c r="B19" s="29" t="str">
        <v>Extracom2</v>
      </c>
      <c r="C19" s="29">
        <v>1</v>
      </c>
      <c r="D19">
        <v>0</v>
      </c>
      <c r="E19">
        <v>0</v>
      </c>
      <c r="F19">
        <v>1</v>
      </c>
      <c r="G19">
        <v>1</v>
      </c>
      <c r="H19">
        <v>1</v>
      </c>
      <c r="I19">
        <v>0</v>
      </c>
      <c r="J19">
        <v>0</v>
      </c>
      <c r="K19">
        <v>0</v>
      </c>
      <c r="L19">
        <v>1</v>
      </c>
    </row>
    <row r="20" spans="1:12" x14ac:dyDescent="0.25">
      <c r="A20" s="28">
        <f t="shared" si="0"/>
        <v>19</v>
      </c>
      <c r="B20" s="29" t="str">
        <v>Extracom3</v>
      </c>
      <c r="C20" s="29">
        <v>1</v>
      </c>
      <c r="D20">
        <v>0</v>
      </c>
      <c r="E20">
        <v>0</v>
      </c>
      <c r="F20">
        <v>1</v>
      </c>
      <c r="G20">
        <v>0</v>
      </c>
      <c r="H20">
        <v>1</v>
      </c>
      <c r="I20">
        <v>0</v>
      </c>
      <c r="J20">
        <v>0</v>
      </c>
      <c r="K20">
        <v>0</v>
      </c>
      <c r="L20">
        <v>1</v>
      </c>
    </row>
    <row r="21" spans="1:12" x14ac:dyDescent="0.25">
      <c r="A21" s="28">
        <f t="shared" si="0"/>
        <v>20</v>
      </c>
      <c r="B21" s="29" t="str">
        <v>Gerti</v>
      </c>
      <c r="C21" s="29">
        <v>1</v>
      </c>
      <c r="D21">
        <v>1</v>
      </c>
      <c r="E21">
        <v>0</v>
      </c>
      <c r="F21">
        <v>0</v>
      </c>
      <c r="G21">
        <v>0</v>
      </c>
      <c r="H21">
        <v>1</v>
      </c>
      <c r="I21">
        <v>3</v>
      </c>
      <c r="J21">
        <v>0</v>
      </c>
      <c r="K21">
        <v>0</v>
      </c>
      <c r="L21">
        <v>4</v>
      </c>
    </row>
    <row r="22" spans="1:12" x14ac:dyDescent="0.25">
      <c r="A22" s="28">
        <f t="shared" si="0"/>
        <v>21</v>
      </c>
      <c r="B22" s="29" t="str">
        <v>Max (P)</v>
      </c>
      <c r="C22" s="29">
        <v>1</v>
      </c>
      <c r="D22">
        <v>0</v>
      </c>
      <c r="E22">
        <v>0</v>
      </c>
      <c r="F22">
        <v>1</v>
      </c>
      <c r="G22">
        <v>0</v>
      </c>
      <c r="H22">
        <v>1</v>
      </c>
      <c r="I22">
        <v>0</v>
      </c>
      <c r="J22">
        <v>0</v>
      </c>
      <c r="K22">
        <v>0</v>
      </c>
      <c r="L22">
        <v>1</v>
      </c>
    </row>
    <row r="23" spans="1:12" x14ac:dyDescent="0.25">
      <c r="A23" s="28">
        <f t="shared" si="0"/>
        <v>22</v>
      </c>
      <c r="B23" s="29" t="str">
        <v>Scardino</v>
      </c>
      <c r="C23" s="29">
        <v>1</v>
      </c>
      <c r="D23">
        <v>1</v>
      </c>
      <c r="E23">
        <v>0</v>
      </c>
      <c r="F23">
        <v>0</v>
      </c>
      <c r="G23">
        <v>1</v>
      </c>
      <c r="H23">
        <v>1</v>
      </c>
      <c r="I23">
        <v>3</v>
      </c>
      <c r="J23">
        <v>0</v>
      </c>
      <c r="K23">
        <v>0</v>
      </c>
      <c r="L23">
        <v>4</v>
      </c>
    </row>
    <row r="24" spans="1:12" x14ac:dyDescent="0.25">
      <c r="A24" s="28">
        <f t="shared" si="0"/>
        <v>23</v>
      </c>
      <c r="B24" s="29" t="str">
        <v>Yannik</v>
      </c>
      <c r="C24" s="29">
        <v>1</v>
      </c>
      <c r="D24">
        <v>1</v>
      </c>
      <c r="E24">
        <v>0</v>
      </c>
      <c r="F24">
        <v>0</v>
      </c>
      <c r="G24">
        <v>1</v>
      </c>
      <c r="H24">
        <v>1</v>
      </c>
      <c r="I24">
        <v>3</v>
      </c>
      <c r="J24">
        <v>0</v>
      </c>
      <c r="K24">
        <v>0</v>
      </c>
      <c r="L24">
        <v>4</v>
      </c>
    </row>
    <row r="25" spans="1:12" x14ac:dyDescent="0.25">
      <c r="A25" s="28">
        <f t="shared" si="0"/>
        <v>24</v>
      </c>
      <c r="B25" s="29" t="str">
        <v>Alex</v>
      </c>
      <c r="C25" s="29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</row>
    <row r="26" spans="1:12" x14ac:dyDescent="0.25">
      <c r="A26" s="28">
        <f t="shared" si="0"/>
        <v>25</v>
      </c>
      <c r="B26" s="29" t="str">
        <v>BordoniA.</v>
      </c>
      <c r="C26" s="29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</row>
    <row r="27" spans="1:12" x14ac:dyDescent="0.25">
      <c r="A27" s="28">
        <f t="shared" si="0"/>
        <v>26</v>
      </c>
      <c r="B27" s="27" t="str">
        <v>BordoniM.</v>
      </c>
      <c r="C27" s="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</row>
    <row r="28" spans="1:12" x14ac:dyDescent="0.25">
      <c r="A28" s="28">
        <f t="shared" si="0"/>
        <v>27</v>
      </c>
      <c r="B28" s="19" t="str">
        <v>Bossi</v>
      </c>
      <c r="C28" s="19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</row>
    <row r="29" spans="1:12" x14ac:dyDescent="0.25">
      <c r="A29" s="28">
        <f t="shared" si="0"/>
        <v>28</v>
      </c>
      <c r="B29" s="19" t="str">
        <v>DarioFelo</v>
      </c>
      <c r="C29" s="1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</row>
    <row r="30" spans="1:12" x14ac:dyDescent="0.25">
      <c r="A30" s="28">
        <f t="shared" si="0"/>
        <v>29</v>
      </c>
      <c r="B30" s="19" t="str">
        <v>Francesco</v>
      </c>
      <c r="C30" s="19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</row>
    <row r="31" spans="1:12" x14ac:dyDescent="0.25">
      <c r="A31" s="28">
        <f t="shared" si="0"/>
        <v>30</v>
      </c>
      <c r="B31" s="19" t="str">
        <v>MatteoM</v>
      </c>
      <c r="C31" s="19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</row>
    <row r="32" spans="1:12" x14ac:dyDescent="0.25">
      <c r="A32" s="28">
        <f t="shared" si="0"/>
        <v>31</v>
      </c>
      <c r="B32" s="19" t="str">
        <v>Max11</v>
      </c>
      <c r="C32" s="19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</row>
    <row r="33" spans="1:12" x14ac:dyDescent="0.25">
      <c r="A33" s="28">
        <f t="shared" si="0"/>
        <v>32</v>
      </c>
      <c r="B33" s="19" t="str">
        <v>Michele (P)</v>
      </c>
      <c r="C33" s="19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</row>
    <row r="34" spans="1:12" x14ac:dyDescent="0.25">
      <c r="A34" s="28">
        <f t="shared" si="0"/>
        <v>33</v>
      </c>
      <c r="B34" s="19" t="str">
        <v>Niko</v>
      </c>
      <c r="C34" s="19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</row>
    <row r="35" spans="1:12" x14ac:dyDescent="0.25">
      <c r="A35" s="28">
        <f t="shared" si="0"/>
        <v>34</v>
      </c>
      <c r="B35" s="19" t="str">
        <v>Pier</v>
      </c>
      <c r="C35" s="19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</row>
    <row r="36" spans="1:12" x14ac:dyDescent="0.25">
      <c r="A36" s="28">
        <f t="shared" si="0"/>
        <v>35</v>
      </c>
      <c r="B36" s="19" t="str">
        <v>Pizzato</v>
      </c>
      <c r="C36" s="19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</row>
    <row r="37" spans="1:12" x14ac:dyDescent="0.25">
      <c r="A37" s="28">
        <f t="shared" si="0"/>
        <v>36</v>
      </c>
      <c r="B37" s="19" t="str">
        <v>Sassi</v>
      </c>
      <c r="C37" s="19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</row>
    <row r="38" spans="1:12" x14ac:dyDescent="0.25">
      <c r="A38" s="28">
        <f t="shared" si="0"/>
        <v>37</v>
      </c>
      <c r="B38" s="19" t="str">
        <v>Simone</v>
      </c>
      <c r="C38" s="19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</row>
    <row r="39" spans="1:12" x14ac:dyDescent="0.25">
      <c r="A39" s="28">
        <f t="shared" si="0"/>
        <v>38</v>
      </c>
      <c r="B39" s="19" t="str">
        <v>Tino</v>
      </c>
      <c r="C39" s="1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</row>
    <row r="40" spans="1:12" x14ac:dyDescent="0.25">
      <c r="A40" s="28">
        <f t="shared" si="0"/>
        <v>39</v>
      </c>
      <c r="B40" s="50" t="str">
        <v>Zef</v>
      </c>
      <c r="C40" s="5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</row>
    <row r="41" spans="1:12" x14ac:dyDescent="0.25">
      <c r="A41" s="28">
        <f t="shared" si="0"/>
        <v>40</v>
      </c>
      <c r="B41" s="29" t="str">
        <v>ZZ40</v>
      </c>
      <c r="C41" s="29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</row>
    <row r="42" spans="1:12" x14ac:dyDescent="0.25">
      <c r="A42" s="28">
        <f t="shared" si="0"/>
        <v>41</v>
      </c>
      <c r="B42" s="29" t="str">
        <v>ZZ41</v>
      </c>
      <c r="C42" s="29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</row>
    <row r="43" spans="1:12" x14ac:dyDescent="0.25">
      <c r="A43" s="28">
        <f t="shared" si="0"/>
        <v>42</v>
      </c>
      <c r="B43" s="29" t="str">
        <v>ZZ42</v>
      </c>
      <c r="C43" s="29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</row>
    <row r="44" spans="1:12" x14ac:dyDescent="0.25">
      <c r="A44" s="28">
        <f t="shared" si="0"/>
        <v>43</v>
      </c>
      <c r="B44" s="29" t="str">
        <v>ZZ43</v>
      </c>
      <c r="C44" s="29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</row>
    <row r="45" spans="1:12" x14ac:dyDescent="0.25">
      <c r="A45" s="28">
        <f t="shared" si="0"/>
        <v>44</v>
      </c>
      <c r="B45" s="29" t="str">
        <v>ZZ44</v>
      </c>
      <c r="C45" s="29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</row>
    <row r="46" spans="1:12" x14ac:dyDescent="0.25">
      <c r="A46" s="28">
        <f t="shared" si="0"/>
        <v>45</v>
      </c>
      <c r="B46" s="29" t="str">
        <v>ZZ45</v>
      </c>
      <c r="C46" s="29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</row>
    <row r="47" spans="1:12" x14ac:dyDescent="0.25">
      <c r="A47" s="28">
        <f t="shared" si="0"/>
        <v>46</v>
      </c>
      <c r="B47" s="29" t="str">
        <v>ZZ46</v>
      </c>
      <c r="C47" s="29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</row>
    <row r="48" spans="1:12" x14ac:dyDescent="0.25">
      <c r="A48" s="28">
        <f t="shared" si="0"/>
        <v>47</v>
      </c>
      <c r="B48" s="29" t="str">
        <v>ZZ47</v>
      </c>
      <c r="C48" s="29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</row>
    <row r="49" spans="1:12" x14ac:dyDescent="0.25">
      <c r="A49" s="28">
        <f t="shared" si="0"/>
        <v>48</v>
      </c>
      <c r="B49" s="29" t="str">
        <v>ZZ48</v>
      </c>
      <c r="C49" s="2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</row>
    <row r="50" spans="1:12" x14ac:dyDescent="0.25">
      <c r="A50" s="28">
        <f t="shared" si="0"/>
        <v>49</v>
      </c>
      <c r="B50" s="29" t="str">
        <v>ZZ49</v>
      </c>
      <c r="C50" s="29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</row>
    <row r="51" spans="1:12" x14ac:dyDescent="0.25">
      <c r="A51" s="28">
        <f t="shared" si="0"/>
        <v>50</v>
      </c>
      <c r="B51" s="29" t="str">
        <v>ZZ50</v>
      </c>
      <c r="C51" s="29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</row>
    <row r="52" spans="1:12" x14ac:dyDescent="0.25">
      <c r="A52" s="28">
        <f t="shared" si="0"/>
        <v>51</v>
      </c>
      <c r="B52" s="29" t="str">
        <v>(vuoto)</v>
      </c>
      <c r="C52" s="29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6</vt:i4>
      </vt:variant>
    </vt:vector>
  </HeadingPairs>
  <TitlesOfParts>
    <vt:vector size="6" baseType="lpstr">
      <vt:lpstr>Dati</vt:lpstr>
      <vt:lpstr>Chmps</vt:lpstr>
      <vt:lpstr>Score</vt:lpstr>
      <vt:lpstr>Classifica</vt:lpstr>
      <vt:lpstr>Marcatori</vt:lpstr>
      <vt:lpstr>Presenze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Simone S.</dc:creator>
  <dc:description>24/06/2024</dc:description>
  <cp:lastModifiedBy>Giorgio Monti</cp:lastModifiedBy>
  <cp:lastPrinted>2024-07-31T07:31:04Z</cp:lastPrinted>
  <dcterms:created xsi:type="dcterms:W3CDTF">2015-03-28T17:48:55Z</dcterms:created>
  <dcterms:modified xsi:type="dcterms:W3CDTF">2026-02-04T10:54:00Z</dcterms:modified>
</cp:coreProperties>
</file>